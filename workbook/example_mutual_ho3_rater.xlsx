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ies" sheetId="1" state="visible" r:id="rId1"/>
    <sheet name="RateTables" sheetId="2" state="visible" r:id="rId2"/>
    <sheet name="Calc" sheetId="3" state="visible" r:id="rId3"/>
    <sheet name="Summary" sheetId="4" state="visible" r:id="rId4"/>
    <sheet name="About" sheetId="5" state="visible" r:id="rId5"/>
  </sheets>
  <definedNames>
    <definedName name="BaseRates">RateTables!$A$3:$D$10</definedName>
    <definedName name="AgeBands">RateTables!$E$12:$F$18</definedName>
    <definedName name="RoofBands">RateTables!$H$12:$I$16</definedName>
    <definedName name="AOIBands">RateTables!$K$12:$L$18</definedName>
    <definedName name="DedBands">RateTables!$A$31:$B$36</definedName>
    <definedName name="ClaimsTable">RateTables!$E$31:$F$34</definedName>
    <definedName name="HurrDedTable">RateTables!$H$31:$I$33</definedName>
    <definedName name="FeeTable">RateTables!$N$31:$O$32</definedName>
    <definedName name="CreditPcts">RateTables!$B$40:$F$40</definedName>
    <definedName name="CreditCap">RateTables!$B$42</definedName>
    <definedName name="MinPremium">RateTables!$B$43</definedName>
    <definedName name="AssessRate">RateTables!$B$44</definedName>
    <definedName name="HurrCapPct">RateTables!$B$45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SheetShift</author>
  </authors>
  <commentList>
    <comment ref="A1" authorId="0" shapeId="0">
      <text>
        <t>FICTIONAL — all names, rates and rules invented for a software demonstration</t>
      </text>
    </comment>
  </commentList>
</comments>
</file>

<file path=xl/comments/comment2.xml><?xml version="1.0" encoding="utf-8"?>
<comments xmlns="http://schemas.openxmlformats.org/spreadsheetml/2006/main">
  <authors>
    <author>SheetShift</author>
  </authors>
  <commentList>
    <comment ref="A1" authorId="0" shapeId="0">
      <text>
        <t>FICTIONAL — all names, rates and rules invented for a software demonstration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zone</t>
        </is>
      </c>
      <c r="C1" t="inlineStr">
        <is>
          <t>construction</t>
        </is>
      </c>
      <c r="D1" t="inlineStr">
        <is>
          <t>protection_class</t>
        </is>
      </c>
      <c r="E1" t="inlineStr">
        <is>
          <t>year_built</t>
        </is>
      </c>
      <c r="F1" t="inlineStr">
        <is>
          <t>roof_age</t>
        </is>
      </c>
      <c r="G1" t="inlineStr">
        <is>
          <t>coverage_a</t>
        </is>
      </c>
      <c r="H1" t="inlineStr">
        <is>
          <t>deductible</t>
        </is>
      </c>
      <c r="I1" t="inlineStr">
        <is>
          <t>hurr_ded_pct</t>
        </is>
      </c>
      <c r="J1" t="inlineStr">
        <is>
          <t>alarm</t>
        </is>
      </c>
      <c r="K1" t="inlineStr">
        <is>
          <t>wind_mit</t>
        </is>
      </c>
      <c r="L1" t="inlineStr">
        <is>
          <t>claims_3yr</t>
        </is>
      </c>
      <c r="M1" t="inlineStr">
        <is>
          <t>effective_date</t>
        </is>
      </c>
      <c r="N1" t="inlineStr">
        <is>
          <t>term_months</t>
        </is>
      </c>
    </row>
    <row r="2">
      <c r="A2" t="inlineStr">
        <is>
          <t>HO-000001</t>
        </is>
      </c>
      <c r="B2" t="inlineStr">
        <is>
          <t>T06</t>
        </is>
      </c>
      <c r="C2" t="inlineStr">
        <is>
          <t>Frame</t>
        </is>
      </c>
      <c r="D2" t="n">
        <v>4</v>
      </c>
      <c r="E2" t="n">
        <v>2001</v>
      </c>
      <c r="F2" t="n">
        <v>18</v>
      </c>
      <c r="G2" t="n">
        <v>982093</v>
      </c>
      <c r="H2" t="n">
        <v>7500</v>
      </c>
      <c r="I2" t="n">
        <v>0.1</v>
      </c>
      <c r="J2" t="inlineStr">
        <is>
          <t>N</t>
        </is>
      </c>
      <c r="K2" t="inlineStr">
        <is>
          <t>None</t>
        </is>
      </c>
      <c r="L2" t="n">
        <v>0</v>
      </c>
      <c r="M2" s="1" t="n">
        <v>46144</v>
      </c>
      <c r="N2" t="n">
        <v>12</v>
      </c>
    </row>
    <row r="3">
      <c r="A3" t="inlineStr">
        <is>
          <t>HO-000002</t>
        </is>
      </c>
      <c r="B3" t="inlineStr">
        <is>
          <t>T02</t>
        </is>
      </c>
      <c r="C3" t="inlineStr">
        <is>
          <t>FireResistive</t>
        </is>
      </c>
      <c r="D3" t="n">
        <v>1</v>
      </c>
      <c r="E3" t="n">
        <v>2012</v>
      </c>
      <c r="F3" t="n">
        <v>14</v>
      </c>
      <c r="G3" t="n">
        <v>1491000</v>
      </c>
      <c r="H3" t="n">
        <v>10000</v>
      </c>
      <c r="I3" t="n">
        <v>0.05</v>
      </c>
      <c r="K3" t="inlineStr">
        <is>
          <t>Fortified</t>
        </is>
      </c>
      <c r="L3" t="n">
        <v>2</v>
      </c>
      <c r="M3" s="1" t="n">
        <v>46317</v>
      </c>
      <c r="N3" t="n">
        <v>12</v>
      </c>
    </row>
    <row r="4">
      <c r="A4" t="inlineStr">
        <is>
          <t>HO-000003</t>
        </is>
      </c>
      <c r="B4" t="inlineStr">
        <is>
          <t>T06</t>
        </is>
      </c>
      <c r="C4" t="inlineStr">
        <is>
          <t>Frame</t>
        </is>
      </c>
      <c r="D4" t="n">
        <v>9</v>
      </c>
      <c r="E4" t="n">
        <v>1993</v>
      </c>
      <c r="F4" t="n">
        <v>8</v>
      </c>
      <c r="G4" t="n">
        <v>689000</v>
      </c>
      <c r="H4" t="n">
        <v>25000</v>
      </c>
      <c r="I4" t="n">
        <v>0.03</v>
      </c>
      <c r="K4" t="inlineStr">
        <is>
          <t>None</t>
        </is>
      </c>
      <c r="L4" t="n">
        <v>1</v>
      </c>
      <c r="M4" s="1" t="n">
        <v>46763</v>
      </c>
      <c r="N4" t="n">
        <v>12</v>
      </c>
    </row>
    <row r="5">
      <c r="A5" t="inlineStr">
        <is>
          <t>HO-000004</t>
        </is>
      </c>
      <c r="B5" t="inlineStr">
        <is>
          <t>T07</t>
        </is>
      </c>
      <c r="C5" t="inlineStr">
        <is>
          <t>Frame</t>
        </is>
      </c>
      <c r="D5" t="n">
        <v>7</v>
      </c>
      <c r="E5" t="n">
        <v>1999</v>
      </c>
      <c r="F5" t="n">
        <v>16</v>
      </c>
      <c r="G5" t="n">
        <v>344209</v>
      </c>
      <c r="H5" t="n">
        <v>1500</v>
      </c>
      <c r="I5" t="n">
        <v>0.03</v>
      </c>
      <c r="J5" t="inlineStr">
        <is>
          <t>y</t>
        </is>
      </c>
      <c r="L5" t="n">
        <v>4</v>
      </c>
      <c r="M5" s="1" t="n">
        <v>46495</v>
      </c>
      <c r="N5" t="n">
        <v>12</v>
      </c>
    </row>
    <row r="6">
      <c r="A6" t="inlineStr">
        <is>
          <t>HO-000005</t>
        </is>
      </c>
      <c r="B6" t="inlineStr">
        <is>
          <t>T07</t>
        </is>
      </c>
      <c r="C6" t="inlineStr">
        <is>
          <t>FireResistive</t>
        </is>
      </c>
      <c r="D6" t="n">
        <v>9</v>
      </c>
      <c r="E6" t="n">
        <v>1991</v>
      </c>
      <c r="F6" t="n">
        <v>24</v>
      </c>
      <c r="G6" t="n">
        <v>151000</v>
      </c>
      <c r="H6" t="n">
        <v>1000</v>
      </c>
      <c r="J6" t="inlineStr">
        <is>
          <t>Y</t>
        </is>
      </c>
      <c r="K6" t="inlineStr">
        <is>
          <t>None</t>
        </is>
      </c>
      <c r="L6" t="n">
        <v>2</v>
      </c>
      <c r="M6" s="1" t="n">
        <v>46887</v>
      </c>
      <c r="N6" t="n">
        <v>6</v>
      </c>
    </row>
    <row r="7">
      <c r="A7" t="inlineStr">
        <is>
          <t>HO-000006</t>
        </is>
      </c>
      <c r="B7" t="inlineStr">
        <is>
          <t>T08</t>
        </is>
      </c>
      <c r="C7" t="inlineStr">
        <is>
          <t>Masonry</t>
        </is>
      </c>
      <c r="D7" t="n">
        <v>2</v>
      </c>
      <c r="E7" t="n">
        <v>2005</v>
      </c>
      <c r="F7" t="n">
        <v>21</v>
      </c>
      <c r="G7" t="n">
        <v>1514116</v>
      </c>
      <c r="H7" t="n">
        <v>1500</v>
      </c>
      <c r="I7" t="n">
        <v>0.05</v>
      </c>
      <c r="J7" t="inlineStr">
        <is>
          <t>Y</t>
        </is>
      </c>
      <c r="L7" t="n">
        <v>1</v>
      </c>
      <c r="M7" s="1" t="n">
        <v>46168</v>
      </c>
      <c r="N7" t="n">
        <v>6</v>
      </c>
    </row>
    <row r="8">
      <c r="A8" t="inlineStr">
        <is>
          <t>HO-000007</t>
        </is>
      </c>
      <c r="B8" t="inlineStr">
        <is>
          <t>T07</t>
        </is>
      </c>
      <c r="C8" t="inlineStr">
        <is>
          <t>FireResistive</t>
        </is>
      </c>
      <c r="D8" t="n">
        <v>4</v>
      </c>
      <c r="E8" t="n">
        <v>1962</v>
      </c>
      <c r="F8" t="n">
        <v>25</v>
      </c>
      <c r="G8" t="n">
        <v>650000</v>
      </c>
      <c r="H8" t="n">
        <v>1000</v>
      </c>
      <c r="I8" t="n">
        <v>0.03</v>
      </c>
      <c r="J8" t="inlineStr">
        <is>
          <t>y</t>
        </is>
      </c>
      <c r="K8" t="inlineStr">
        <is>
          <t>fortified</t>
        </is>
      </c>
      <c r="L8" t="n">
        <v>3</v>
      </c>
      <c r="M8" s="1" t="n">
        <v>46847</v>
      </c>
      <c r="N8" t="n">
        <v>12</v>
      </c>
    </row>
    <row r="9">
      <c r="A9" t="inlineStr">
        <is>
          <t>HO-000008</t>
        </is>
      </c>
      <c r="B9" t="inlineStr">
        <is>
          <t>T05</t>
        </is>
      </c>
      <c r="C9" t="inlineStr">
        <is>
          <t>FireResistive</t>
        </is>
      </c>
      <c r="D9" t="n">
        <v>8</v>
      </c>
      <c r="E9" t="n">
        <v>1990</v>
      </c>
      <c r="F9" t="n">
        <v>23</v>
      </c>
      <c r="G9" t="n">
        <v>1118000</v>
      </c>
      <c r="H9" t="n">
        <v>2500</v>
      </c>
      <c r="I9" t="n">
        <v>0.05</v>
      </c>
      <c r="J9" t="inlineStr">
        <is>
          <t>y</t>
        </is>
      </c>
      <c r="K9" t="inlineStr">
        <is>
          <t>None</t>
        </is>
      </c>
      <c r="L9" t="n">
        <v>3</v>
      </c>
      <c r="M9" s="1" t="n">
        <v>46227</v>
      </c>
      <c r="N9" t="n">
        <v>12</v>
      </c>
    </row>
    <row r="10">
      <c r="A10" t="inlineStr">
        <is>
          <t>HO-000009</t>
        </is>
      </c>
      <c r="B10" t="inlineStr">
        <is>
          <t>T03</t>
        </is>
      </c>
      <c r="C10" t="inlineStr">
        <is>
          <t>FireResistive</t>
        </is>
      </c>
      <c r="D10" t="n">
        <v>8</v>
      </c>
      <c r="E10" t="n">
        <v>1933</v>
      </c>
      <c r="F10" t="n">
        <v>19</v>
      </c>
      <c r="G10" t="n">
        <v>1145264</v>
      </c>
      <c r="H10" t="n">
        <v>1000</v>
      </c>
      <c r="I10" t="n">
        <v>0.02</v>
      </c>
      <c r="J10" t="inlineStr">
        <is>
          <t>y</t>
        </is>
      </c>
      <c r="K10" t="inlineStr">
        <is>
          <t>Basic</t>
        </is>
      </c>
      <c r="L10" t="n">
        <v>3</v>
      </c>
      <c r="M10" s="1" t="n">
        <v>46486</v>
      </c>
      <c r="N10" t="n">
        <v>12</v>
      </c>
    </row>
    <row r="11">
      <c r="A11" t="inlineStr">
        <is>
          <t>HO-000010</t>
        </is>
      </c>
      <c r="B11" t="inlineStr">
        <is>
          <t>T01</t>
        </is>
      </c>
      <c r="C11" t="inlineStr">
        <is>
          <t>FireResistive</t>
        </is>
      </c>
      <c r="D11" t="n">
        <v>10</v>
      </c>
      <c r="E11" t="n">
        <v>1994</v>
      </c>
      <c r="F11" t="n">
        <v>28</v>
      </c>
      <c r="G11" t="n">
        <v>270000</v>
      </c>
      <c r="H11" t="n">
        <v>2500</v>
      </c>
      <c r="J11" t="inlineStr">
        <is>
          <t>Y</t>
        </is>
      </c>
      <c r="K11" t="inlineStr">
        <is>
          <t>None</t>
        </is>
      </c>
      <c r="L11" t="n">
        <v>4</v>
      </c>
      <c r="M11" s="1" t="n">
        <v>46117</v>
      </c>
      <c r="N11" t="n">
        <v>12</v>
      </c>
    </row>
    <row r="12">
      <c r="A12" t="inlineStr">
        <is>
          <t>HO-000011</t>
        </is>
      </c>
      <c r="B12" t="inlineStr">
        <is>
          <t>T06</t>
        </is>
      </c>
      <c r="C12" t="inlineStr">
        <is>
          <t>Masonry</t>
        </is>
      </c>
      <c r="D12" t="n">
        <v>1</v>
      </c>
      <c r="E12" t="n">
        <v>1965</v>
      </c>
      <c r="F12" t="n">
        <v>20</v>
      </c>
      <c r="G12" t="n">
        <v>1304359</v>
      </c>
      <c r="H12" t="n">
        <v>1000</v>
      </c>
      <c r="I12" t="n">
        <v>0.03</v>
      </c>
      <c r="J12" t="inlineStr">
        <is>
          <t>N</t>
        </is>
      </c>
      <c r="L12" t="n">
        <v>0</v>
      </c>
      <c r="M12" s="1" t="n">
        <v>46707</v>
      </c>
      <c r="N12" t="n">
        <v>12</v>
      </c>
    </row>
    <row r="13">
      <c r="A13" t="inlineStr">
        <is>
          <t>HO-000012</t>
        </is>
      </c>
      <c r="B13" t="inlineStr">
        <is>
          <t>T07</t>
        </is>
      </c>
      <c r="C13" t="inlineStr">
        <is>
          <t>Masonry</t>
        </is>
      </c>
      <c r="D13" t="n">
        <v>3</v>
      </c>
      <c r="E13" t="n">
        <v>2025</v>
      </c>
      <c r="F13" t="n">
        <v>24</v>
      </c>
      <c r="G13" t="n">
        <v>741737</v>
      </c>
      <c r="H13" t="n">
        <v>10000</v>
      </c>
      <c r="I13" t="n">
        <v>0.02</v>
      </c>
      <c r="J13" t="inlineStr">
        <is>
          <t>Y</t>
        </is>
      </c>
      <c r="K13" t="inlineStr">
        <is>
          <t>Basic</t>
        </is>
      </c>
      <c r="L13" t="n">
        <v>2</v>
      </c>
      <c r="M13" s="1" t="n">
        <v>46109</v>
      </c>
      <c r="N13" t="n">
        <v>12</v>
      </c>
    </row>
    <row r="14">
      <c r="A14" t="inlineStr">
        <is>
          <t>HO-000013</t>
        </is>
      </c>
      <c r="B14" t="inlineStr">
        <is>
          <t>T07</t>
        </is>
      </c>
      <c r="C14" t="inlineStr">
        <is>
          <t>Frame</t>
        </is>
      </c>
      <c r="D14" t="n">
        <v>1</v>
      </c>
      <c r="E14" t="n">
        <v>1969</v>
      </c>
      <c r="F14" t="n">
        <v>19</v>
      </c>
      <c r="G14" t="n">
        <v>823000</v>
      </c>
      <c r="H14" t="n">
        <v>1500</v>
      </c>
      <c r="I14" t="n">
        <v>0.1</v>
      </c>
      <c r="K14" t="inlineStr">
        <is>
          <t>Fortified</t>
        </is>
      </c>
      <c r="L14" t="n">
        <v>3</v>
      </c>
      <c r="M14" s="1" t="n">
        <v>46131</v>
      </c>
      <c r="N14" t="n">
        <v>12</v>
      </c>
    </row>
    <row r="15">
      <c r="A15" t="inlineStr">
        <is>
          <t>HO-000014</t>
        </is>
      </c>
      <c r="B15" t="inlineStr">
        <is>
          <t>T08</t>
        </is>
      </c>
      <c r="C15" t="inlineStr">
        <is>
          <t>FireResistive</t>
        </is>
      </c>
      <c r="D15" t="n">
        <v>10</v>
      </c>
      <c r="E15" t="n">
        <v>2004</v>
      </c>
      <c r="F15" t="n">
        <v>24</v>
      </c>
      <c r="G15" t="n">
        <v>449000</v>
      </c>
      <c r="H15" t="n">
        <v>10000</v>
      </c>
      <c r="I15" t="n">
        <v>0.03</v>
      </c>
      <c r="L15" t="n">
        <v>0</v>
      </c>
      <c r="M15" s="1" t="n">
        <v>46147</v>
      </c>
      <c r="N15" t="n">
        <v>12</v>
      </c>
    </row>
    <row r="16">
      <c r="A16" t="inlineStr">
        <is>
          <t>HO-000015</t>
        </is>
      </c>
      <c r="B16" t="inlineStr">
        <is>
          <t>T07</t>
        </is>
      </c>
      <c r="C16" t="inlineStr">
        <is>
          <t>Frame</t>
        </is>
      </c>
      <c r="D16" t="n">
        <v>4</v>
      </c>
      <c r="E16" t="n">
        <v>2007</v>
      </c>
      <c r="F16" t="n">
        <v>28</v>
      </c>
      <c r="G16" t="n">
        <v>455000</v>
      </c>
      <c r="H16" t="n">
        <v>250</v>
      </c>
      <c r="I16" t="n">
        <v>0.02</v>
      </c>
      <c r="J16" t="inlineStr">
        <is>
          <t>y</t>
        </is>
      </c>
      <c r="K16" t="inlineStr">
        <is>
          <t>None</t>
        </is>
      </c>
      <c r="L16" t="n">
        <v>0</v>
      </c>
      <c r="M16" s="1" t="n">
        <v>46583</v>
      </c>
      <c r="N16" t="n">
        <v>12</v>
      </c>
    </row>
    <row r="17">
      <c r="A17" t="inlineStr">
        <is>
          <t>HO-000016</t>
        </is>
      </c>
      <c r="B17" t="inlineStr">
        <is>
          <t>T03</t>
        </is>
      </c>
      <c r="C17" t="inlineStr">
        <is>
          <t>Masonry</t>
        </is>
      </c>
      <c r="D17" t="n">
        <v>3</v>
      </c>
      <c r="E17" t="n">
        <v>1974</v>
      </c>
      <c r="F17" t="n">
        <v>7</v>
      </c>
      <c r="G17" t="n">
        <v>1217804</v>
      </c>
      <c r="H17" t="n">
        <v>1000</v>
      </c>
      <c r="I17" t="n">
        <v>0.1</v>
      </c>
      <c r="K17" t="inlineStr">
        <is>
          <t>Basic</t>
        </is>
      </c>
      <c r="L17" t="n">
        <v>1</v>
      </c>
      <c r="M17" s="1" t="n">
        <v>46827</v>
      </c>
      <c r="N17" t="n">
        <v>12</v>
      </c>
    </row>
    <row r="18">
      <c r="A18" t="inlineStr">
        <is>
          <t>HO-000017</t>
        </is>
      </c>
      <c r="B18" t="inlineStr">
        <is>
          <t>T08</t>
        </is>
      </c>
      <c r="C18" t="inlineStr">
        <is>
          <t>FireResistive</t>
        </is>
      </c>
      <c r="D18" t="n">
        <v>7</v>
      </c>
      <c r="E18" t="n">
        <v>1961</v>
      </c>
      <c r="F18" t="n">
        <v>13</v>
      </c>
      <c r="G18" t="n">
        <v>783229</v>
      </c>
      <c r="H18" t="n">
        <v>250</v>
      </c>
      <c r="J18" t="inlineStr">
        <is>
          <t>Y</t>
        </is>
      </c>
      <c r="K18" t="inlineStr">
        <is>
          <t>fortified</t>
        </is>
      </c>
      <c r="L18" t="n">
        <v>1</v>
      </c>
      <c r="M18" s="1" t="n">
        <v>46292</v>
      </c>
      <c r="N18" t="n">
        <v>12</v>
      </c>
    </row>
    <row r="19">
      <c r="A19" t="inlineStr">
        <is>
          <t>HO-000018</t>
        </is>
      </c>
      <c r="B19" t="inlineStr">
        <is>
          <t>T04</t>
        </is>
      </c>
      <c r="C19" t="inlineStr">
        <is>
          <t>Masonry</t>
        </is>
      </c>
      <c r="D19" t="n">
        <v>1</v>
      </c>
      <c r="E19" t="n">
        <v>1936</v>
      </c>
      <c r="F19" t="n">
        <v>27</v>
      </c>
      <c r="G19" t="n">
        <v>1454087</v>
      </c>
      <c r="H19" t="n">
        <v>10000</v>
      </c>
      <c r="I19" t="n">
        <v>0.03</v>
      </c>
      <c r="J19" t="inlineStr">
        <is>
          <t>N</t>
        </is>
      </c>
      <c r="K19" t="inlineStr">
        <is>
          <t>None</t>
        </is>
      </c>
      <c r="L19" t="n">
        <v>1</v>
      </c>
      <c r="M19" s="1" t="n">
        <v>46891</v>
      </c>
      <c r="N19" t="n">
        <v>12</v>
      </c>
    </row>
    <row r="20">
      <c r="A20" t="inlineStr">
        <is>
          <t>HO-000019</t>
        </is>
      </c>
      <c r="B20" t="inlineStr">
        <is>
          <t>T04</t>
        </is>
      </c>
      <c r="C20" t="inlineStr">
        <is>
          <t>Frame</t>
        </is>
      </c>
      <c r="D20" t="n">
        <v>10</v>
      </c>
      <c r="E20" t="n">
        <v>2016</v>
      </c>
      <c r="F20" t="n">
        <v>7</v>
      </c>
      <c r="G20" t="n">
        <v>1238000</v>
      </c>
      <c r="H20" t="n">
        <v>7500</v>
      </c>
      <c r="I20" t="n">
        <v>0.05</v>
      </c>
      <c r="J20" t="inlineStr">
        <is>
          <t>Y</t>
        </is>
      </c>
      <c r="K20" t="inlineStr">
        <is>
          <t>Fortified</t>
        </is>
      </c>
      <c r="L20" t="n">
        <v>4</v>
      </c>
      <c r="M20" s="1" t="n">
        <v>46383</v>
      </c>
      <c r="N20" t="n">
        <v>12</v>
      </c>
    </row>
    <row r="21">
      <c r="A21" t="inlineStr">
        <is>
          <t>HO-000020</t>
        </is>
      </c>
      <c r="B21" t="inlineStr">
        <is>
          <t>T05</t>
        </is>
      </c>
      <c r="C21" t="inlineStr">
        <is>
          <t>Frame</t>
        </is>
      </c>
      <c r="D21" t="n">
        <v>7</v>
      </c>
      <c r="E21" t="n">
        <v>1946</v>
      </c>
      <c r="F21" t="n">
        <v>2</v>
      </c>
      <c r="G21" t="n">
        <v>226722</v>
      </c>
      <c r="H21" t="n">
        <v>1000</v>
      </c>
      <c r="J21" t="inlineStr">
        <is>
          <t>Y</t>
        </is>
      </c>
      <c r="K21" t="inlineStr">
        <is>
          <t>Fortified</t>
        </is>
      </c>
      <c r="L21" t="n">
        <v>1</v>
      </c>
      <c r="M21" s="1" t="n">
        <v>46126</v>
      </c>
      <c r="N21" t="n">
        <v>12</v>
      </c>
    </row>
    <row r="22">
      <c r="A22" t="inlineStr">
        <is>
          <t>HO-000021</t>
        </is>
      </c>
      <c r="B22" t="inlineStr">
        <is>
          <t>T06</t>
        </is>
      </c>
      <c r="C22" t="inlineStr">
        <is>
          <t>Masonry</t>
        </is>
      </c>
      <c r="D22" t="n">
        <v>5</v>
      </c>
      <c r="E22" t="n">
        <v>1957</v>
      </c>
      <c r="F22" t="n">
        <v>1</v>
      </c>
      <c r="G22" t="n">
        <v>963276</v>
      </c>
      <c r="H22" t="n">
        <v>10000</v>
      </c>
      <c r="J22" t="inlineStr">
        <is>
          <t>Y</t>
        </is>
      </c>
      <c r="K22" t="inlineStr">
        <is>
          <t>None</t>
        </is>
      </c>
      <c r="L22" t="n">
        <v>0</v>
      </c>
      <c r="M22" s="1" t="n">
        <v>46321</v>
      </c>
      <c r="N22" t="n">
        <v>12</v>
      </c>
    </row>
    <row r="23">
      <c r="A23" t="inlineStr">
        <is>
          <t>HO-000022</t>
        </is>
      </c>
      <c r="B23" t="inlineStr">
        <is>
          <t>T02</t>
        </is>
      </c>
      <c r="C23" t="inlineStr">
        <is>
          <t>Frame</t>
        </is>
      </c>
      <c r="D23" t="n">
        <v>9</v>
      </c>
      <c r="E23" t="n">
        <v>1998</v>
      </c>
      <c r="F23" t="n">
        <v>28</v>
      </c>
      <c r="G23" t="n">
        <v>760549</v>
      </c>
      <c r="H23" t="n">
        <v>7500</v>
      </c>
      <c r="I23" t="n">
        <v>0.03</v>
      </c>
      <c r="J23" t="inlineStr">
        <is>
          <t>Y</t>
        </is>
      </c>
      <c r="L23" t="n">
        <v>1</v>
      </c>
      <c r="M23" s="1" t="n">
        <v>46340</v>
      </c>
      <c r="N23" t="n">
        <v>12</v>
      </c>
    </row>
    <row r="24">
      <c r="A24" t="inlineStr">
        <is>
          <t>HO-000023</t>
        </is>
      </c>
      <c r="B24" t="inlineStr">
        <is>
          <t>T08</t>
        </is>
      </c>
      <c r="C24" t="inlineStr">
        <is>
          <t>FireResistive</t>
        </is>
      </c>
      <c r="D24" t="n">
        <v>2</v>
      </c>
      <c r="E24" t="n">
        <v>2012</v>
      </c>
      <c r="F24" t="n">
        <v>10</v>
      </c>
      <c r="G24" t="n">
        <v>1529007</v>
      </c>
      <c r="H24" t="n">
        <v>10000</v>
      </c>
      <c r="I24" t="n">
        <v>0.05</v>
      </c>
      <c r="K24" t="inlineStr">
        <is>
          <t>None</t>
        </is>
      </c>
      <c r="L24" t="n">
        <v>2</v>
      </c>
      <c r="M24" s="1" t="n">
        <v>46631</v>
      </c>
      <c r="N24" t="n">
        <v>12</v>
      </c>
    </row>
    <row r="25">
      <c r="A25" t="inlineStr">
        <is>
          <t>HO-000024</t>
        </is>
      </c>
      <c r="B25" t="inlineStr">
        <is>
          <t>T06</t>
        </is>
      </c>
      <c r="C25" t="inlineStr">
        <is>
          <t>MasonryVeneer</t>
        </is>
      </c>
      <c r="D25" t="n">
        <v>2</v>
      </c>
      <c r="E25" t="n">
        <v>1963</v>
      </c>
      <c r="F25" t="n">
        <v>23</v>
      </c>
      <c r="G25" t="n">
        <v>953000</v>
      </c>
      <c r="H25" t="n">
        <v>1500</v>
      </c>
      <c r="I25" t="n">
        <v>0.05</v>
      </c>
      <c r="J25" t="inlineStr">
        <is>
          <t>N</t>
        </is>
      </c>
      <c r="K25" t="inlineStr">
        <is>
          <t>fortified</t>
        </is>
      </c>
      <c r="M25" s="1" t="n">
        <v>46311</v>
      </c>
      <c r="N25" t="n">
        <v>12</v>
      </c>
    </row>
    <row r="26">
      <c r="A26" t="inlineStr">
        <is>
          <t>HO-000025</t>
        </is>
      </c>
      <c r="B26" t="inlineStr">
        <is>
          <t>T02</t>
        </is>
      </c>
      <c r="C26" t="inlineStr">
        <is>
          <t>Frame</t>
        </is>
      </c>
      <c r="D26" t="n">
        <v>1</v>
      </c>
      <c r="E26" t="n">
        <v>1941</v>
      </c>
      <c r="F26" t="n">
        <v>15</v>
      </c>
      <c r="G26" t="n">
        <v>1351900</v>
      </c>
      <c r="H26" t="n">
        <v>500</v>
      </c>
      <c r="I26" t="n">
        <v>0.1</v>
      </c>
      <c r="J26" t="inlineStr">
        <is>
          <t>Y</t>
        </is>
      </c>
      <c r="K26" t="inlineStr">
        <is>
          <t>Basic</t>
        </is>
      </c>
      <c r="L26" t="n">
        <v>1</v>
      </c>
      <c r="M26" s="1" t="n">
        <v>46189</v>
      </c>
      <c r="N26" t="n">
        <v>6</v>
      </c>
    </row>
    <row r="27">
      <c r="A27" t="inlineStr">
        <is>
          <t>HO-000026</t>
        </is>
      </c>
      <c r="B27" t="inlineStr">
        <is>
          <t>T07</t>
        </is>
      </c>
      <c r="C27" t="inlineStr">
        <is>
          <t>Masonry</t>
        </is>
      </c>
      <c r="D27" t="n">
        <v>7</v>
      </c>
      <c r="E27" t="n">
        <v>2009</v>
      </c>
      <c r="F27" t="n">
        <v>6</v>
      </c>
      <c r="G27" t="n">
        <v>356000</v>
      </c>
      <c r="H27" t="n">
        <v>25000</v>
      </c>
      <c r="I27" t="n">
        <v>0.03</v>
      </c>
      <c r="J27" t="inlineStr">
        <is>
          <t>Y</t>
        </is>
      </c>
      <c r="L27" t="n">
        <v>1</v>
      </c>
      <c r="M27" s="1" t="n">
        <v>46416</v>
      </c>
      <c r="N27" t="n">
        <v>12</v>
      </c>
    </row>
    <row r="28">
      <c r="A28" t="inlineStr">
        <is>
          <t>HO-000027</t>
        </is>
      </c>
      <c r="B28" t="inlineStr">
        <is>
          <t>T01</t>
        </is>
      </c>
      <c r="C28" t="inlineStr">
        <is>
          <t>Frame</t>
        </is>
      </c>
      <c r="D28" t="n">
        <v>5</v>
      </c>
      <c r="E28" t="n">
        <v>1994</v>
      </c>
      <c r="F28" t="n">
        <v>14</v>
      </c>
      <c r="G28" t="n">
        <v>653262</v>
      </c>
      <c r="H28" t="n">
        <v>1000</v>
      </c>
      <c r="I28" t="n">
        <v>0.03</v>
      </c>
      <c r="J28" t="inlineStr">
        <is>
          <t>Y</t>
        </is>
      </c>
      <c r="K28" t="inlineStr">
        <is>
          <t>Basic</t>
        </is>
      </c>
      <c r="L28" t="n">
        <v>4</v>
      </c>
      <c r="M28" s="1" t="n">
        <v>46256</v>
      </c>
      <c r="N28" t="n">
        <v>12</v>
      </c>
    </row>
    <row r="29">
      <c r="A29" t="inlineStr">
        <is>
          <t>HO-000028</t>
        </is>
      </c>
      <c r="B29" t="inlineStr">
        <is>
          <t>T05</t>
        </is>
      </c>
      <c r="C29" t="inlineStr">
        <is>
          <t>MasonryVeneer</t>
        </is>
      </c>
      <c r="D29" t="n">
        <v>9</v>
      </c>
      <c r="E29" t="n">
        <v>2021</v>
      </c>
      <c r="F29" t="n">
        <v>22</v>
      </c>
      <c r="G29" t="n">
        <v>750000</v>
      </c>
      <c r="H29" t="n">
        <v>25000</v>
      </c>
      <c r="I29" t="n">
        <v>0.02</v>
      </c>
      <c r="J29" t="inlineStr">
        <is>
          <t>y</t>
        </is>
      </c>
      <c r="K29" t="inlineStr">
        <is>
          <t>None</t>
        </is>
      </c>
      <c r="L29" t="n">
        <v>0</v>
      </c>
      <c r="M29" s="1" t="n">
        <v>46688</v>
      </c>
      <c r="N29" t="n">
        <v>12</v>
      </c>
    </row>
    <row r="30">
      <c r="A30" t="inlineStr">
        <is>
          <t>HO-000029</t>
        </is>
      </c>
      <c r="B30" t="inlineStr">
        <is>
          <t>T07</t>
        </is>
      </c>
      <c r="C30" t="inlineStr">
        <is>
          <t>MasonryVeneer</t>
        </is>
      </c>
      <c r="D30" t="n">
        <v>4</v>
      </c>
      <c r="E30" t="n">
        <v>1996</v>
      </c>
      <c r="F30" t="n">
        <v>25</v>
      </c>
      <c r="G30" t="n">
        <v>664000</v>
      </c>
      <c r="H30" t="n">
        <v>5000</v>
      </c>
      <c r="I30" t="n">
        <v>0.05</v>
      </c>
      <c r="J30" t="inlineStr">
        <is>
          <t>y</t>
        </is>
      </c>
      <c r="L30" t="n">
        <v>4</v>
      </c>
      <c r="M30" s="1" t="n">
        <v>46786</v>
      </c>
      <c r="N30" t="n">
        <v>6</v>
      </c>
    </row>
    <row r="31">
      <c r="A31" t="inlineStr">
        <is>
          <t>HO-000030</t>
        </is>
      </c>
      <c r="B31" t="inlineStr">
        <is>
          <t>T05</t>
        </is>
      </c>
      <c r="C31" t="inlineStr">
        <is>
          <t>Masonry</t>
        </is>
      </c>
      <c r="D31" t="n">
        <v>3</v>
      </c>
      <c r="E31" t="n">
        <v>2023</v>
      </c>
      <c r="F31" t="n">
        <v>12</v>
      </c>
      <c r="G31" t="n">
        <v>414000</v>
      </c>
      <c r="H31" t="n">
        <v>1000</v>
      </c>
      <c r="I31" t="n">
        <v>0.03</v>
      </c>
      <c r="J31" t="inlineStr">
        <is>
          <t>Y</t>
        </is>
      </c>
      <c r="K31" t="inlineStr">
        <is>
          <t>Fortified</t>
        </is>
      </c>
      <c r="L31" t="n">
        <v>0</v>
      </c>
      <c r="M31" s="1" t="n">
        <v>46539</v>
      </c>
      <c r="N31" t="n">
        <v>12</v>
      </c>
    </row>
    <row r="32">
      <c r="A32" t="inlineStr">
        <is>
          <t>HO-000031</t>
        </is>
      </c>
      <c r="B32" t="inlineStr">
        <is>
          <t>T06</t>
        </is>
      </c>
      <c r="C32" t="inlineStr">
        <is>
          <t>MasonryVeneer</t>
        </is>
      </c>
      <c r="D32" t="n">
        <v>3</v>
      </c>
      <c r="E32" t="n">
        <v>2016</v>
      </c>
      <c r="F32" t="n">
        <v>22</v>
      </c>
      <c r="G32" t="n">
        <v>306000</v>
      </c>
      <c r="H32" t="n">
        <v>7500</v>
      </c>
      <c r="I32" t="n">
        <v>0.05</v>
      </c>
      <c r="J32" t="inlineStr">
        <is>
          <t>Y</t>
        </is>
      </c>
      <c r="K32" t="inlineStr">
        <is>
          <t>None</t>
        </is>
      </c>
      <c r="L32" t="n">
        <v>2</v>
      </c>
      <c r="M32" s="1" t="n">
        <v>46329</v>
      </c>
      <c r="N32" t="n">
        <v>6</v>
      </c>
    </row>
    <row r="33">
      <c r="A33" t="inlineStr">
        <is>
          <t>HO-000032</t>
        </is>
      </c>
      <c r="B33" t="inlineStr">
        <is>
          <t>T03</t>
        </is>
      </c>
      <c r="C33" t="inlineStr">
        <is>
          <t>Frame</t>
        </is>
      </c>
      <c r="D33" t="n">
        <v>2</v>
      </c>
      <c r="E33" t="n">
        <v>1943</v>
      </c>
      <c r="F33" t="n">
        <v>22</v>
      </c>
      <c r="G33" t="n">
        <v>799630</v>
      </c>
      <c r="H33" t="n">
        <v>2500</v>
      </c>
      <c r="J33" t="inlineStr">
        <is>
          <t>Y</t>
        </is>
      </c>
      <c r="K33" t="inlineStr">
        <is>
          <t>Basic</t>
        </is>
      </c>
      <c r="L33" t="n">
        <v>0</v>
      </c>
      <c r="M33" s="1" t="n">
        <v>46574</v>
      </c>
      <c r="N33" t="n">
        <v>12</v>
      </c>
    </row>
    <row r="34">
      <c r="A34" t="inlineStr">
        <is>
          <t>HO-000033</t>
        </is>
      </c>
      <c r="B34" t="inlineStr">
        <is>
          <t>T05</t>
        </is>
      </c>
      <c r="C34" t="inlineStr">
        <is>
          <t>MasonryVeneer</t>
        </is>
      </c>
      <c r="D34" t="n">
        <v>3</v>
      </c>
      <c r="E34" t="n">
        <v>1974</v>
      </c>
      <c r="F34" t="n">
        <v>5</v>
      </c>
      <c r="G34" t="n">
        <v>119815</v>
      </c>
      <c r="H34" t="n">
        <v>10000</v>
      </c>
      <c r="I34" t="n">
        <v>0.05</v>
      </c>
      <c r="J34" t="inlineStr">
        <is>
          <t>Y</t>
        </is>
      </c>
      <c r="K34" t="inlineStr">
        <is>
          <t>Basic</t>
        </is>
      </c>
      <c r="L34" t="n">
        <v>4</v>
      </c>
      <c r="M34" s="1" t="n">
        <v>46325</v>
      </c>
      <c r="N34" t="n">
        <v>12</v>
      </c>
    </row>
    <row r="35">
      <c r="A35" t="inlineStr">
        <is>
          <t>HO-000034</t>
        </is>
      </c>
      <c r="B35" t="inlineStr">
        <is>
          <t>T06</t>
        </is>
      </c>
      <c r="C35" t="inlineStr">
        <is>
          <t>Masonry</t>
        </is>
      </c>
      <c r="D35" t="n">
        <v>3</v>
      </c>
      <c r="E35" t="n">
        <v>1928</v>
      </c>
      <c r="F35" t="n">
        <v>27</v>
      </c>
      <c r="G35" t="n">
        <v>338000</v>
      </c>
      <c r="H35" t="n">
        <v>5000</v>
      </c>
      <c r="K35" t="inlineStr">
        <is>
          <t>Fortified</t>
        </is>
      </c>
      <c r="L35" t="n">
        <v>0</v>
      </c>
      <c r="M35" s="1" t="n">
        <v>46206</v>
      </c>
      <c r="N35" t="n">
        <v>12</v>
      </c>
    </row>
    <row r="36">
      <c r="A36" t="inlineStr">
        <is>
          <t>HO-000035</t>
        </is>
      </c>
      <c r="B36" t="inlineStr">
        <is>
          <t>T04</t>
        </is>
      </c>
      <c r="C36" t="inlineStr">
        <is>
          <t>Masonry</t>
        </is>
      </c>
      <c r="D36" t="n">
        <v>2</v>
      </c>
      <c r="E36" t="n">
        <v>1966</v>
      </c>
      <c r="F36" t="n">
        <v>14</v>
      </c>
      <c r="G36" t="n">
        <v>253367</v>
      </c>
      <c r="H36" t="n">
        <v>2500</v>
      </c>
      <c r="I36" t="n">
        <v>0.03</v>
      </c>
      <c r="K36" t="inlineStr">
        <is>
          <t>None</t>
        </is>
      </c>
      <c r="L36" t="n">
        <v>1</v>
      </c>
      <c r="M36" s="1" t="n">
        <v>46636</v>
      </c>
      <c r="N36" t="n">
        <v>6</v>
      </c>
    </row>
    <row r="37">
      <c r="A37" t="inlineStr">
        <is>
          <t>HO-000036</t>
        </is>
      </c>
      <c r="B37" t="inlineStr">
        <is>
          <t>T02</t>
        </is>
      </c>
      <c r="C37" t="inlineStr">
        <is>
          <t>Masonry</t>
        </is>
      </c>
      <c r="D37" t="n">
        <v>6</v>
      </c>
      <c r="E37" t="n">
        <v>2012</v>
      </c>
      <c r="F37" t="n">
        <v>25</v>
      </c>
      <c r="G37" t="n">
        <v>1327494</v>
      </c>
      <c r="H37" t="n">
        <v>1000</v>
      </c>
      <c r="J37" t="inlineStr">
        <is>
          <t>Y</t>
        </is>
      </c>
      <c r="L37" t="n">
        <v>1</v>
      </c>
      <c r="M37" s="1" t="n">
        <v>46533</v>
      </c>
      <c r="N37" t="n">
        <v>12</v>
      </c>
    </row>
    <row r="38">
      <c r="A38" t="inlineStr">
        <is>
          <t>HO-000037</t>
        </is>
      </c>
      <c r="B38" t="inlineStr">
        <is>
          <t>T04</t>
        </is>
      </c>
      <c r="C38" t="inlineStr">
        <is>
          <t>Masonry</t>
        </is>
      </c>
      <c r="D38" t="n">
        <v>6</v>
      </c>
      <c r="E38" t="n">
        <v>1980</v>
      </c>
      <c r="F38" t="n">
        <v>15</v>
      </c>
      <c r="G38" t="n">
        <v>795651</v>
      </c>
      <c r="H38" t="n">
        <v>25000</v>
      </c>
      <c r="I38" t="n">
        <v>0.1</v>
      </c>
      <c r="J38" t="inlineStr">
        <is>
          <t>y</t>
        </is>
      </c>
      <c r="K38" t="inlineStr">
        <is>
          <t>Fortified</t>
        </is>
      </c>
      <c r="L38" t="n">
        <v>0</v>
      </c>
      <c r="M38" s="1" t="n">
        <v>46794</v>
      </c>
      <c r="N38" t="n">
        <v>12</v>
      </c>
    </row>
    <row r="39">
      <c r="A39" t="inlineStr">
        <is>
          <t>HO-000038</t>
        </is>
      </c>
      <c r="B39" t="inlineStr">
        <is>
          <t>T08</t>
        </is>
      </c>
      <c r="C39" t="inlineStr">
        <is>
          <t>Masonry</t>
        </is>
      </c>
      <c r="D39" t="n">
        <v>6</v>
      </c>
      <c r="E39" t="n">
        <v>2022</v>
      </c>
      <c r="F39" t="n">
        <v>24</v>
      </c>
      <c r="G39" t="n">
        <v>959202</v>
      </c>
      <c r="H39" t="n">
        <v>2500</v>
      </c>
      <c r="I39" t="n">
        <v>0.02</v>
      </c>
      <c r="J39" t="inlineStr">
        <is>
          <t>y</t>
        </is>
      </c>
      <c r="K39" t="inlineStr">
        <is>
          <t>fortified</t>
        </is>
      </c>
      <c r="L39" t="n">
        <v>0</v>
      </c>
      <c r="M39" s="1" t="n">
        <v>46848</v>
      </c>
      <c r="N39" t="n">
        <v>6</v>
      </c>
    </row>
    <row r="40">
      <c r="A40" t="inlineStr">
        <is>
          <t>HO-000039</t>
        </is>
      </c>
      <c r="B40" t="inlineStr">
        <is>
          <t>T09</t>
        </is>
      </c>
      <c r="C40" t="inlineStr">
        <is>
          <t>Frame</t>
        </is>
      </c>
      <c r="D40" t="n">
        <v>6</v>
      </c>
      <c r="E40" t="n">
        <v>1959</v>
      </c>
      <c r="F40" t="n">
        <v>25</v>
      </c>
      <c r="G40" t="n">
        <v>1010000</v>
      </c>
      <c r="H40" t="n">
        <v>1500</v>
      </c>
      <c r="I40" t="n">
        <v>0.05</v>
      </c>
      <c r="J40" t="inlineStr">
        <is>
          <t>N</t>
        </is>
      </c>
      <c r="K40" t="inlineStr">
        <is>
          <t>Fortified</t>
        </is>
      </c>
      <c r="L40" t="n">
        <v>0</v>
      </c>
      <c r="M40" s="1" t="n">
        <v>46297</v>
      </c>
      <c r="N40" t="n">
        <v>12</v>
      </c>
    </row>
    <row r="41">
      <c r="A41" t="inlineStr">
        <is>
          <t>HO-000040</t>
        </is>
      </c>
      <c r="B41" t="inlineStr">
        <is>
          <t>T05</t>
        </is>
      </c>
      <c r="C41" t="inlineStr">
        <is>
          <t>FireResistive</t>
        </is>
      </c>
      <c r="D41" t="n">
        <v>7</v>
      </c>
      <c r="E41" t="n">
        <v>1976</v>
      </c>
      <c r="G41" t="n">
        <v>790319</v>
      </c>
      <c r="H41" t="n">
        <v>5000</v>
      </c>
      <c r="J41" t="inlineStr">
        <is>
          <t>y</t>
        </is>
      </c>
      <c r="K41" t="inlineStr">
        <is>
          <t>fortified</t>
        </is>
      </c>
      <c r="L41" t="n">
        <v>4</v>
      </c>
      <c r="M41" s="1" t="n">
        <v>46297</v>
      </c>
      <c r="N41" t="n">
        <v>12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— all names, rates and rules invented for a software demonstration | Example Mutual Insurance Co. (FICTIONAL) HO-3 rate tables</t>
        </is>
      </c>
    </row>
    <row r="2">
      <c r="A2" t="inlineStr">
        <is>
          <t>Zone</t>
        </is>
      </c>
      <c r="B2" t="inlineStr">
        <is>
          <t>AOP rate/1000</t>
        </is>
      </c>
      <c r="C2" t="inlineStr">
        <is>
          <t>Hurr rate/1000</t>
        </is>
      </c>
      <c r="D2" t="inlineStr">
        <is>
          <t>Tax rate</t>
        </is>
      </c>
    </row>
    <row r="3">
      <c r="A3" t="inlineStr">
        <is>
          <t>T01</t>
        </is>
      </c>
      <c r="B3" t="n">
        <v>3.125</v>
      </c>
      <c r="C3" t="n">
        <v>0.45</v>
      </c>
      <c r="D3" t="n">
        <v>0.0175</v>
      </c>
    </row>
    <row r="4">
      <c r="A4" t="inlineStr">
        <is>
          <t>T02</t>
        </is>
      </c>
      <c r="B4" t="n">
        <v>3.375</v>
      </c>
      <c r="C4" t="n">
        <v>0.875</v>
      </c>
      <c r="D4" t="n">
        <v>0.0175</v>
      </c>
    </row>
    <row r="5">
      <c r="A5" t="inlineStr">
        <is>
          <t>T03</t>
        </is>
      </c>
      <c r="B5" t="n">
        <v>3.64</v>
      </c>
      <c r="C5" t="n">
        <v>1.25</v>
      </c>
      <c r="D5" t="n">
        <v>0.02</v>
      </c>
    </row>
    <row r="6">
      <c r="A6" t="inlineStr">
        <is>
          <t>T04</t>
        </is>
      </c>
      <c r="B6" t="n">
        <v>2.98</v>
      </c>
      <c r="C6" t="n">
        <v>2.125</v>
      </c>
      <c r="D6" t="n">
        <v>0.02</v>
      </c>
    </row>
    <row r="7">
      <c r="A7" t="inlineStr">
        <is>
          <t>T05</t>
        </is>
      </c>
      <c r="B7" t="n">
        <v>4.115</v>
      </c>
      <c r="C7" t="n">
        <v>3.375</v>
      </c>
      <c r="D7" t="n">
        <v>0.0225</v>
      </c>
    </row>
    <row r="8">
      <c r="A8" t="inlineStr">
        <is>
          <t>T06</t>
        </is>
      </c>
      <c r="B8" t="n">
        <v>3.505</v>
      </c>
      <c r="C8" t="n">
        <v>4.625</v>
      </c>
      <c r="D8" t="n">
        <v>0.0225</v>
      </c>
    </row>
    <row r="9">
      <c r="A9" t="inlineStr">
        <is>
          <t>T07</t>
        </is>
      </c>
      <c r="B9" t="n">
        <v>4.25</v>
      </c>
      <c r="C9" t="n">
        <v>5.875</v>
      </c>
      <c r="D9" t="n">
        <v>0.025</v>
      </c>
    </row>
    <row r="10">
      <c r="A10" t="inlineStr">
        <is>
          <t>T08</t>
        </is>
      </c>
      <c r="B10" t="n">
        <v>2.875</v>
      </c>
      <c r="C10" t="n">
        <v>6.5</v>
      </c>
      <c r="D10" t="n">
        <v>0.025</v>
      </c>
    </row>
    <row r="11">
      <c r="E11" t="inlineStr">
        <is>
          <t>Home age &gt;=</t>
        </is>
      </c>
      <c r="H11" t="inlineStr">
        <is>
          <t>Roof age &gt;=</t>
        </is>
      </c>
      <c r="K11" t="inlineStr">
        <is>
          <t>Coverage A &gt;=</t>
        </is>
      </c>
    </row>
    <row r="12">
      <c r="A12" t="inlineStr">
        <is>
          <t>Construction</t>
        </is>
      </c>
      <c r="B12" t="inlineStr">
        <is>
          <t>AOP factor</t>
        </is>
      </c>
      <c r="C12" t="inlineStr">
        <is>
          <t>Hurr factor</t>
        </is>
      </c>
      <c r="E12" t="n">
        <v>0</v>
      </c>
      <c r="F12" t="n">
        <v>0.9</v>
      </c>
      <c r="H12" t="n">
        <v>0</v>
      </c>
      <c r="I12" t="n">
        <v>0.95</v>
      </c>
      <c r="K12" t="n">
        <v>0</v>
      </c>
      <c r="L12" t="n">
        <v>0.8</v>
      </c>
    </row>
    <row r="13">
      <c r="A13" t="inlineStr">
        <is>
          <t>Frame</t>
        </is>
      </c>
      <c r="B13" t="n">
        <v>1</v>
      </c>
      <c r="C13" t="n">
        <v>1</v>
      </c>
      <c r="E13" t="n">
        <v>5</v>
      </c>
      <c r="F13" t="n">
        <v>0.95</v>
      </c>
      <c r="H13" t="n">
        <v>6</v>
      </c>
      <c r="I13" t="n">
        <v>1</v>
      </c>
      <c r="K13" t="n">
        <v>150000</v>
      </c>
      <c r="L13" t="n">
        <v>0.9</v>
      </c>
    </row>
    <row r="14">
      <c r="A14" t="inlineStr">
        <is>
          <t>Masonry</t>
        </is>
      </c>
      <c r="B14" t="n">
        <v>0.88</v>
      </c>
      <c r="C14" t="n">
        <v>0.8</v>
      </c>
      <c r="E14" t="n">
        <v>10</v>
      </c>
      <c r="F14" t="n">
        <v>1</v>
      </c>
      <c r="H14" t="n">
        <v>11</v>
      </c>
      <c r="I14" t="n">
        <v>1.1</v>
      </c>
      <c r="K14" t="n">
        <v>250000</v>
      </c>
      <c r="L14" t="n">
        <v>1</v>
      </c>
    </row>
    <row r="15">
      <c r="A15" t="inlineStr">
        <is>
          <t>MasonryVeneer</t>
        </is>
      </c>
      <c r="B15" t="n">
        <v>0.9399999999999999</v>
      </c>
      <c r="C15" t="n">
        <v>0.9</v>
      </c>
      <c r="E15" t="n">
        <v>20</v>
      </c>
      <c r="F15" t="n">
        <v>1.08</v>
      </c>
      <c r="H15" t="n">
        <v>16</v>
      </c>
      <c r="I15" t="n">
        <v>1.25</v>
      </c>
      <c r="K15" t="n">
        <v>400000</v>
      </c>
      <c r="L15" t="n">
        <v>1.12</v>
      </c>
    </row>
    <row r="16">
      <c r="A16" t="inlineStr">
        <is>
          <t>FireResistive</t>
        </is>
      </c>
      <c r="B16" t="n">
        <v>0.8</v>
      </c>
      <c r="C16" t="n">
        <v>0.7</v>
      </c>
      <c r="E16" t="n">
        <v>30</v>
      </c>
      <c r="F16" t="n">
        <v>1.15</v>
      </c>
      <c r="H16" t="n">
        <v>21</v>
      </c>
      <c r="I16" t="n">
        <v>1.45</v>
      </c>
      <c r="K16" t="n">
        <v>600000</v>
      </c>
      <c r="L16" t="n">
        <v>1.25</v>
      </c>
    </row>
    <row r="17">
      <c r="E17" t="n">
        <v>50</v>
      </c>
      <c r="F17" t="n">
        <v>1.25</v>
      </c>
      <c r="K17" t="n">
        <v>1000000</v>
      </c>
      <c r="L17" t="n">
        <v>1.4</v>
      </c>
    </row>
    <row r="18">
      <c r="A18" t="inlineStr">
        <is>
          <t>PC</t>
        </is>
      </c>
      <c r="B18" t="inlineStr">
        <is>
          <t>Frame</t>
        </is>
      </c>
      <c r="C18" t="inlineStr">
        <is>
          <t>NonFrame</t>
        </is>
      </c>
      <c r="E18" t="n">
        <v>75</v>
      </c>
      <c r="F18" t="n">
        <v>1.35</v>
      </c>
      <c r="K18" t="n">
        <v>2000000</v>
      </c>
      <c r="L18" t="n">
        <v>1.55</v>
      </c>
    </row>
    <row r="19">
      <c r="A19" t="n">
        <v>1</v>
      </c>
      <c r="B19" t="n">
        <v>0.85</v>
      </c>
      <c r="C19" t="n">
        <v>0.82</v>
      </c>
    </row>
    <row r="20">
      <c r="A20" t="n">
        <v>2</v>
      </c>
      <c r="B20" t="n">
        <v>0.87</v>
      </c>
      <c r="C20" t="n">
        <v>0.84</v>
      </c>
    </row>
    <row r="21">
      <c r="A21" t="n">
        <v>3</v>
      </c>
      <c r="B21" t="n">
        <v>0.9</v>
      </c>
      <c r="C21" t="n">
        <v>0.86</v>
      </c>
    </row>
    <row r="22">
      <c r="A22" t="n">
        <v>4</v>
      </c>
      <c r="B22" t="n">
        <v>0.93</v>
      </c>
      <c r="C22" t="n">
        <v>0.89</v>
      </c>
    </row>
    <row r="23">
      <c r="A23" t="n">
        <v>5</v>
      </c>
      <c r="B23" t="n">
        <v>0.97</v>
      </c>
      <c r="C23" t="n">
        <v>0.93</v>
      </c>
    </row>
    <row r="24">
      <c r="A24" t="n">
        <v>6</v>
      </c>
      <c r="B24" t="n">
        <v>1</v>
      </c>
      <c r="C24" t="n">
        <v>0.96</v>
      </c>
    </row>
    <row r="25">
      <c r="A25" t="n">
        <v>7</v>
      </c>
      <c r="B25" t="n">
        <v>1.06</v>
      </c>
      <c r="C25" t="n">
        <v>1.01</v>
      </c>
    </row>
    <row r="26">
      <c r="A26" t="n">
        <v>8</v>
      </c>
      <c r="B26" t="n">
        <v>1.15</v>
      </c>
      <c r="C26" t="n">
        <v>1.09</v>
      </c>
    </row>
    <row r="27">
      <c r="A27" t="n">
        <v>9</v>
      </c>
      <c r="B27" t="n">
        <v>1.4</v>
      </c>
      <c r="C27" t="n">
        <v>1.3</v>
      </c>
    </row>
    <row r="28">
      <c r="A28" t="n">
        <v>10</v>
      </c>
      <c r="B28" t="n">
        <v>1.75</v>
      </c>
      <c r="C28" t="n">
        <v>1.6</v>
      </c>
    </row>
    <row r="30">
      <c r="A30" t="inlineStr">
        <is>
          <t>Deductible &gt;=</t>
        </is>
      </c>
      <c r="E30" t="inlineStr">
        <is>
          <t>Claims</t>
        </is>
      </c>
      <c r="H30" t="inlineStr">
        <is>
          <t>Hurr ded %</t>
        </is>
      </c>
      <c r="K30" t="inlineStr">
        <is>
          <t>Wind mitigation</t>
        </is>
      </c>
      <c r="N30" t="inlineStr">
        <is>
          <t>Term months</t>
        </is>
      </c>
    </row>
    <row r="31">
      <c r="A31" t="n">
        <v>0</v>
      </c>
      <c r="B31" t="n">
        <v>1.1</v>
      </c>
      <c r="E31" t="n">
        <v>0</v>
      </c>
      <c r="F31" t="n">
        <v>1</v>
      </c>
      <c r="H31" t="n">
        <v>0.02</v>
      </c>
      <c r="I31" t="n">
        <v>1</v>
      </c>
      <c r="K31" t="inlineStr">
        <is>
          <t>None</t>
        </is>
      </c>
      <c r="L31" t="n">
        <v>1</v>
      </c>
      <c r="N31" t="n">
        <v>6</v>
      </c>
      <c r="O31" t="n">
        <v>15</v>
      </c>
    </row>
    <row r="32">
      <c r="A32" t="n">
        <v>500</v>
      </c>
      <c r="B32" t="n">
        <v>1</v>
      </c>
      <c r="E32" t="n">
        <v>1</v>
      </c>
      <c r="F32" t="n">
        <v>1.1</v>
      </c>
      <c r="H32" t="n">
        <v>0.05</v>
      </c>
      <c r="I32" t="n">
        <v>0.85</v>
      </c>
      <c r="K32" t="inlineStr">
        <is>
          <t>Basic</t>
        </is>
      </c>
      <c r="L32" t="n">
        <v>0.85</v>
      </c>
      <c r="N32" t="n">
        <v>12</v>
      </c>
      <c r="O32" t="n">
        <v>25</v>
      </c>
    </row>
    <row r="33">
      <c r="A33" t="n">
        <v>1000</v>
      </c>
      <c r="B33" t="n">
        <v>0.92</v>
      </c>
      <c r="E33" t="n">
        <v>2</v>
      </c>
      <c r="F33" t="n">
        <v>1.25</v>
      </c>
      <c r="H33" t="n">
        <v>0.1</v>
      </c>
      <c r="I33" t="n">
        <v>0.72</v>
      </c>
      <c r="K33" t="inlineStr">
        <is>
          <t>Fortified</t>
        </is>
      </c>
      <c r="L33" t="n">
        <v>0.65</v>
      </c>
    </row>
    <row r="34">
      <c r="A34" t="n">
        <v>2500</v>
      </c>
      <c r="B34" t="n">
        <v>0.82</v>
      </c>
      <c r="E34" t="n">
        <v>3</v>
      </c>
      <c r="F34" t="n">
        <v>1.5</v>
      </c>
    </row>
    <row r="35">
      <c r="A35" t="n">
        <v>5000</v>
      </c>
      <c r="B35" t="n">
        <v>0.74</v>
      </c>
    </row>
    <row r="36">
      <c r="A36" t="n">
        <v>10000</v>
      </c>
      <c r="B36" t="n">
        <v>0.66</v>
      </c>
    </row>
    <row r="39">
      <c r="A39" t="inlineStr">
        <is>
          <t>Credit</t>
        </is>
      </c>
      <c r="B39" t="inlineStr">
        <is>
          <t>Alarm</t>
        </is>
      </c>
      <c r="C39" t="inlineStr">
        <is>
          <t>ClaimsFree</t>
        </is>
      </c>
      <c r="D39" t="inlineStr">
        <is>
          <t>NewHome</t>
        </is>
      </c>
      <c r="E39" t="inlineStr">
        <is>
          <t>MitBasic</t>
        </is>
      </c>
      <c r="F39" t="inlineStr">
        <is>
          <t>MitFortified</t>
        </is>
      </c>
    </row>
    <row r="40">
      <c r="A40" t="inlineStr">
        <is>
          <t>Credit %</t>
        </is>
      </c>
      <c r="B40" t="n">
        <v>0.05</v>
      </c>
      <c r="C40" t="n">
        <v>0.1</v>
      </c>
      <c r="D40" t="n">
        <v>0.08</v>
      </c>
      <c r="E40" t="n">
        <v>0.04</v>
      </c>
      <c r="F40" t="n">
        <v>0.1</v>
      </c>
    </row>
    <row r="42">
      <c r="A42" t="inlineStr">
        <is>
          <t>CreditCap</t>
        </is>
      </c>
      <c r="B42" t="n">
        <v>0.25</v>
      </c>
    </row>
    <row r="43">
      <c r="A43" t="inlineStr">
        <is>
          <t>MinPremium</t>
        </is>
      </c>
      <c r="B43" t="n">
        <v>350</v>
      </c>
    </row>
    <row r="44">
      <c r="A44" t="inlineStr">
        <is>
          <t>AssessRate</t>
        </is>
      </c>
      <c r="B44" t="n">
        <v>0.013</v>
      </c>
    </row>
    <row r="45">
      <c r="A45" t="inlineStr">
        <is>
          <t>HurrCapPct</t>
        </is>
      </c>
      <c r="B45" t="n">
        <v>0.006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policy_id</t>
        </is>
      </c>
      <c r="B1" t="inlineStr">
        <is>
          <t>home_age</t>
        </is>
      </c>
      <c r="C1" t="inlineStr">
        <is>
          <t>roof_age_used</t>
        </is>
      </c>
      <c r="D1" t="inlineStr">
        <is>
          <t>aoi_units</t>
        </is>
      </c>
      <c r="E1" t="inlineStr">
        <is>
          <t>base_rate</t>
        </is>
      </c>
      <c r="F1" t="inlineStr">
        <is>
          <t>hurr_rate</t>
        </is>
      </c>
      <c r="G1" t="inlineStr">
        <is>
          <t>tax_rate</t>
        </is>
      </c>
      <c r="H1" t="inlineStr">
        <is>
          <t>base_premium</t>
        </is>
      </c>
      <c r="I1" t="inlineStr">
        <is>
          <t>constr_factor</t>
        </is>
      </c>
      <c r="J1" t="inlineStr">
        <is>
          <t>constr_hurr_factor</t>
        </is>
      </c>
      <c r="K1" t="inlineStr">
        <is>
          <t>pc_factor</t>
        </is>
      </c>
      <c r="L1" t="inlineStr">
        <is>
          <t>age_factor</t>
        </is>
      </c>
      <c r="M1" t="inlineStr">
        <is>
          <t>roof_factor</t>
        </is>
      </c>
      <c r="N1" t="inlineStr">
        <is>
          <t>aoi_factor</t>
        </is>
      </c>
      <c r="O1" t="inlineStr">
        <is>
          <t>ded_factor</t>
        </is>
      </c>
      <c r="P1" t="inlineStr">
        <is>
          <t>claims_factor</t>
        </is>
      </c>
      <c r="Q1" t="inlineStr">
        <is>
          <t>aop_premium</t>
        </is>
      </c>
      <c r="R1" t="inlineStr">
        <is>
          <t>alarm_flag</t>
        </is>
      </c>
      <c r="S1" t="inlineStr">
        <is>
          <t>claims_free_flag</t>
        </is>
      </c>
      <c r="T1" t="inlineStr">
        <is>
          <t>new_home_flag</t>
        </is>
      </c>
      <c r="U1" t="inlineStr">
        <is>
          <t>mit_basic_flag</t>
        </is>
      </c>
      <c r="V1" t="inlineStr">
        <is>
          <t>mit_fort_flag</t>
        </is>
      </c>
      <c r="W1" t="inlineStr">
        <is>
          <t>credit_raw</t>
        </is>
      </c>
      <c r="X1" t="inlineStr">
        <is>
          <t>credit_pct</t>
        </is>
      </c>
      <c r="Y1" t="inlineStr">
        <is>
          <t>aop_net</t>
        </is>
      </c>
      <c r="Z1" t="inlineStr">
        <is>
          <t>hurr_pct_used</t>
        </is>
      </c>
      <c r="AA1" t="inlineStr">
        <is>
          <t>hurr_ded_factor</t>
        </is>
      </c>
      <c r="AB1" t="inlineStr">
        <is>
          <t>wind_mit_factor</t>
        </is>
      </c>
      <c r="AC1" t="inlineStr">
        <is>
          <t>hurr_premium</t>
        </is>
      </c>
      <c r="AD1" t="inlineStr">
        <is>
          <t>hurr_capped</t>
        </is>
      </c>
      <c r="AE1" t="inlineStr">
        <is>
          <t>subtotal</t>
        </is>
      </c>
      <c r="AF1" t="inlineStr">
        <is>
          <t>exp_date</t>
        </is>
      </c>
      <c r="AG1" t="inlineStr">
        <is>
          <t>term_factor</t>
        </is>
      </c>
      <c r="AH1" t="inlineStr">
        <is>
          <t>term_premium</t>
        </is>
      </c>
      <c r="AI1" t="inlineStr">
        <is>
          <t>min_applied</t>
        </is>
      </c>
      <c r="AJ1" t="inlineStr">
        <is>
          <t>premium_rounded</t>
        </is>
      </c>
      <c r="AK1" t="inlineStr">
        <is>
          <t>policy_fee</t>
        </is>
      </c>
      <c r="AL1" t="inlineStr">
        <is>
          <t>assessment</t>
        </is>
      </c>
      <c r="AM1" t="inlineStr">
        <is>
          <t>tax</t>
        </is>
      </c>
      <c r="AN1" t="inlineStr">
        <is>
          <t>total_due</t>
        </is>
      </c>
      <c r="AO1" t="inlineStr">
        <is>
          <t>refer_flag</t>
        </is>
      </c>
      <c r="AP1" t="inlineStr">
        <is>
          <t>rate_per_1000</t>
        </is>
      </c>
      <c r="AQ1" t="inlineStr">
        <is>
          <t>rate_class</t>
        </is>
      </c>
    </row>
    <row r="2">
      <c r="A2">
        <f>Policies!A2</f>
        <v/>
      </c>
      <c r="B2">
        <f>IFERROR(DATEDIF(DATE(Policies!E2,1,1),Policies!M2,"y"),0)</f>
        <v/>
      </c>
      <c r="C2">
        <f>Policies!F2*1</f>
        <v/>
      </c>
      <c r="D2">
        <f>Policies!G2/1000</f>
        <v/>
      </c>
      <c r="E2">
        <f>VLOOKUP(Policies!B2,BaseRates,2,FALSE)</f>
        <v/>
      </c>
      <c r="F2">
        <f>VLOOKUP(Policies!B2,BaseRates,3,FALSE)</f>
        <v/>
      </c>
      <c r="G2">
        <f>VLOOKUP(Policies!B2,BaseRates,4,FALSE)</f>
        <v/>
      </c>
      <c r="H2">
        <f>ROUND(E2*D2,2)</f>
        <v/>
      </c>
      <c r="I2">
        <f>INDEX(RateTables!$B$13:$B$16,MATCH(Policies!C2,RateTables!$A$13:$A$16,0))</f>
        <v/>
      </c>
      <c r="J2">
        <f>INDEX(RateTables!$C$13:$C$16,MATCH(Policies!C2,RateTables!$A$13:$A$16,0))</f>
        <v/>
      </c>
      <c r="K2">
        <f>INDEX(RateTables!$B$19:$C$28,MATCH(Policies!D2,RateTables!$A$19:$A$28,0),IF(Policies!C2="Frame",1,2))</f>
        <v/>
      </c>
      <c r="L2">
        <f>VLOOKUP(B2,AgeBands,2,TRUE)</f>
        <v/>
      </c>
      <c r="M2">
        <f>VLOOKUP(C2,RoofBands,2,TRUE)</f>
        <v/>
      </c>
      <c r="N2">
        <f>VLOOKUP(Policies!G2,AOIBands,2,TRUE)</f>
        <v/>
      </c>
      <c r="O2">
        <f>VLOOKUP(Policies!H2,RateTables!$A$31:$B$35,2,TRUE)</f>
        <v/>
      </c>
      <c r="P2">
        <f>VLOOKUP(MIN(Policies!L2,3),ClaimsTable,2,FALSE)</f>
        <v/>
      </c>
      <c r="Q2">
        <f>ROUND(H2*I2*K2*L2*M2*N2*O2*P2,2)</f>
        <v/>
      </c>
      <c r="R2">
        <f>IF(Policies!J2="Y",1,0)</f>
        <v/>
      </c>
      <c r="S2">
        <f>IF(AND(Policies!L2=0,B2&gt;=3),1,0)</f>
        <v/>
      </c>
      <c r="T2">
        <f>IF(B2&lt;=5,1,0)</f>
        <v/>
      </c>
      <c r="U2">
        <f>IF(Policies!K2="Basic",1,0)</f>
        <v/>
      </c>
      <c r="V2">
        <f>IF(Policies!K2="Fortified",1,0)</f>
        <v/>
      </c>
      <c r="W2">
        <f>SUMPRODUCT(R2:V2,CreditPcts)</f>
        <v/>
      </c>
      <c r="X2">
        <f>MIN(W2,CreditCap)</f>
        <v/>
      </c>
      <c r="Y2">
        <f>ROUND(Q2*(1-X2),2)</f>
        <v/>
      </c>
      <c r="Z2">
        <f>IF(Policies!I2="",0.02,Policies!I2)</f>
        <v/>
      </c>
      <c r="AA2">
        <f>IFERROR(VLOOKUP(Z2,HurrDedTable,2,FALSE),1)</f>
        <v/>
      </c>
      <c r="AB2">
        <f>IFERROR(INDEX(RateTables!$L$31:$L$33,MATCH(Policies!K2,RateTables!$K$31:$K$33,0)),1)</f>
        <v/>
      </c>
      <c r="AC2">
        <f>ROUND(F2*D2*J2*AA2*AB2,2)</f>
        <v/>
      </c>
      <c r="AD2">
        <f>MIN(AC2,Policies!G2*HurrCapPct)</f>
        <v/>
      </c>
      <c r="AE2">
        <f>Y2+AD2</f>
        <v/>
      </c>
      <c r="AF2" s="1">
        <f>EDATE(Policies!M2,Policies!N2)</f>
        <v/>
      </c>
      <c r="AG2">
        <f>ROUND(YEARFRAC(Policies!M2,AF2,3),4)</f>
        <v/>
      </c>
      <c r="AH2">
        <f>ROUND(AE2*AG2,2)</f>
        <v/>
      </c>
      <c r="AI2">
        <f>MAX(AH2,MinPremium)</f>
        <v/>
      </c>
      <c r="AJ2">
        <f>ROUNDUP(AI2,0)</f>
        <v/>
      </c>
      <c r="AK2">
        <f>VLOOKUP(Policies!N2,FeeTable,2,FALSE)</f>
        <v/>
      </c>
      <c r="AL2">
        <f>ROUND(AJ2*AssessRate,2)</f>
        <v/>
      </c>
      <c r="AM2">
        <f>ROUND((AJ2+AK2)*G2,2)</f>
        <v/>
      </c>
      <c r="AN2">
        <f>AJ2+AK2+AL2+AM2</f>
        <v/>
      </c>
      <c r="AO2">
        <f>IF(OR(Policies!G2&gt;1000000,C2&gt;20,Policies!L2&gt;=3),"REFER","OK")</f>
        <v/>
      </c>
      <c r="AP2">
        <f>ROUND(AH2/D2,3)</f>
        <v/>
      </c>
      <c r="AQ2">
        <f>Policies!B2&amp;"-"&amp;LEFT(Policies!C2,1)&amp;TEXT(Policies!D2,"00")</f>
        <v/>
      </c>
    </row>
    <row r="3">
      <c r="A3">
        <f>Policies!A3</f>
        <v/>
      </c>
      <c r="B3">
        <f>IFERROR(DATEDIF(DATE(Policies!E3,1,1),Policies!M3,"y"),0)</f>
        <v/>
      </c>
      <c r="C3">
        <f>Policies!F3*1</f>
        <v/>
      </c>
      <c r="D3">
        <f>Policies!G3/1000</f>
        <v/>
      </c>
      <c r="E3">
        <f>VLOOKUP(Policies!B3,BaseRates,2,FALSE)</f>
        <v/>
      </c>
      <c r="F3">
        <f>VLOOKUP(Policies!B3,BaseRates,3,FALSE)</f>
        <v/>
      </c>
      <c r="G3">
        <f>VLOOKUP(Policies!B3,BaseRates,4,FALSE)</f>
        <v/>
      </c>
      <c r="H3">
        <f>ROUND(E3*D3,2)</f>
        <v/>
      </c>
      <c r="I3">
        <f>INDEX(RateTables!$B$13:$B$16,MATCH(Policies!C3,RateTables!$A$13:$A$16,0))</f>
        <v/>
      </c>
      <c r="J3">
        <f>INDEX(RateTables!$C$13:$C$16,MATCH(Policies!C3,RateTables!$A$13:$A$16,0))</f>
        <v/>
      </c>
      <c r="K3">
        <f>INDEX(RateTables!$B$19:$C$28,MATCH(Policies!D3,RateTables!$A$19:$A$28,0),IF(Policies!C3="Frame",1,2))</f>
        <v/>
      </c>
      <c r="L3">
        <f>VLOOKUP(B3,AgeBands,2,TRUE)</f>
        <v/>
      </c>
      <c r="M3">
        <f>VLOOKUP(C3,RoofBands,2,TRUE)</f>
        <v/>
      </c>
      <c r="N3">
        <f>VLOOKUP(Policies!G3,AOIBands,2,TRUE)</f>
        <v/>
      </c>
      <c r="O3">
        <f>VLOOKUP(Policies!H3,RateTables!$A$31:$B$35,2,TRUE)</f>
        <v/>
      </c>
      <c r="P3">
        <f>VLOOKUP(MIN(Policies!L3,3),ClaimsTable,2,FALSE)</f>
        <v/>
      </c>
      <c r="Q3">
        <f>ROUND(H3*I3*K3*L3*M3*N3*O3*P3,2)</f>
        <v/>
      </c>
      <c r="R3">
        <f>IF(Policies!J3="Y",1,0)</f>
        <v/>
      </c>
      <c r="S3">
        <f>IF(AND(Policies!L3=0,B3&gt;=3),1,0)</f>
        <v/>
      </c>
      <c r="T3">
        <f>IF(B3&lt;=5,1,0)</f>
        <v/>
      </c>
      <c r="U3">
        <f>IF(Policies!K3="Basic",1,0)</f>
        <v/>
      </c>
      <c r="V3">
        <f>IF(Policies!K3="Fortified",1,0)</f>
        <v/>
      </c>
      <c r="W3">
        <f>SUMPRODUCT(R3:V3,CreditPcts)</f>
        <v/>
      </c>
      <c r="X3">
        <f>MIN(W3,CreditCap)</f>
        <v/>
      </c>
      <c r="Y3">
        <f>ROUND(Q3*(1-X3),2)</f>
        <v/>
      </c>
      <c r="Z3">
        <f>IF(Policies!I3="",0.02,Policies!I3)</f>
        <v/>
      </c>
      <c r="AA3">
        <f>IFERROR(VLOOKUP(Z3,HurrDedTable,2,FALSE),1)</f>
        <v/>
      </c>
      <c r="AB3">
        <f>IFERROR(INDEX(RateTables!$L$31:$L$33,MATCH(Policies!K3,RateTables!$K$31:$K$33,0)),1)</f>
        <v/>
      </c>
      <c r="AC3">
        <f>ROUND(F3*D3*J3*AA3*AB3,2)</f>
        <v/>
      </c>
      <c r="AD3">
        <f>MIN(AC3,Policies!G3*HurrCapPct)</f>
        <v/>
      </c>
      <c r="AE3">
        <f>Y3+AD3</f>
        <v/>
      </c>
      <c r="AF3" s="1">
        <f>EDATE(Policies!M3,Policies!N3)</f>
        <v/>
      </c>
      <c r="AG3">
        <f>ROUND(YEARFRAC(Policies!M3,AF3,3),4)</f>
        <v/>
      </c>
      <c r="AH3">
        <f>ROUND(AE3*AG3,2)</f>
        <v/>
      </c>
      <c r="AI3">
        <f>MAX(AH3,MinPremium)</f>
        <v/>
      </c>
      <c r="AJ3">
        <f>ROUNDUP(AI3,0)</f>
        <v/>
      </c>
      <c r="AK3">
        <f>VLOOKUP(Policies!N3,FeeTable,2,FALSE)</f>
        <v/>
      </c>
      <c r="AL3">
        <f>ROUND(AJ3*AssessRate,2)</f>
        <v/>
      </c>
      <c r="AM3">
        <f>ROUND((AJ3+AK3)*G3,2)</f>
        <v/>
      </c>
      <c r="AN3">
        <f>AJ3+AK3+AL3+AM3</f>
        <v/>
      </c>
      <c r="AO3">
        <f>IF(OR(Policies!G3&gt;1000000,C3&gt;20,Policies!L3&gt;=3),"REFER","OK")</f>
        <v/>
      </c>
      <c r="AP3">
        <f>ROUND(AH3/D3,3)</f>
        <v/>
      </c>
      <c r="AQ3">
        <f>Policies!B3&amp;"-"&amp;LEFT(Policies!C3,1)&amp;TEXT(Policies!D3,"00")</f>
        <v/>
      </c>
    </row>
    <row r="4">
      <c r="A4">
        <f>Policies!A4</f>
        <v/>
      </c>
      <c r="B4">
        <f>IFERROR(DATEDIF(DATE(Policies!E4,1,1),Policies!M4,"y"),0)</f>
        <v/>
      </c>
      <c r="C4">
        <f>Policies!F4*1</f>
        <v/>
      </c>
      <c r="D4">
        <f>Policies!G4/1000</f>
        <v/>
      </c>
      <c r="E4">
        <f>VLOOKUP(Policies!B4,BaseRates,2,FALSE)</f>
        <v/>
      </c>
      <c r="F4">
        <f>VLOOKUP(Policies!B4,BaseRates,3,FALSE)</f>
        <v/>
      </c>
      <c r="G4">
        <f>VLOOKUP(Policies!B4,BaseRates,4,FALSE)</f>
        <v/>
      </c>
      <c r="H4">
        <f>ROUND(E4*D4,2)</f>
        <v/>
      </c>
      <c r="I4">
        <f>INDEX(RateTables!$B$13:$B$16,MATCH(Policies!C4,RateTables!$A$13:$A$16,0))</f>
        <v/>
      </c>
      <c r="J4">
        <f>INDEX(RateTables!$C$13:$C$16,MATCH(Policies!C4,RateTables!$A$13:$A$16,0))</f>
        <v/>
      </c>
      <c r="K4">
        <f>INDEX(RateTables!$B$19:$C$28,MATCH(Policies!D4,RateTables!$A$19:$A$28,0),IF(Policies!C4="Frame",1,2))</f>
        <v/>
      </c>
      <c r="L4">
        <f>VLOOKUP(B4,AgeBands,2,TRUE)</f>
        <v/>
      </c>
      <c r="M4">
        <f>VLOOKUP(C4,RoofBands,2,TRUE)</f>
        <v/>
      </c>
      <c r="N4">
        <f>VLOOKUP(Policies!G4,AOIBands,2,TRUE)</f>
        <v/>
      </c>
      <c r="O4">
        <f>VLOOKUP(Policies!H4,RateTables!$A$31:$B$35,2,TRUE)</f>
        <v/>
      </c>
      <c r="P4">
        <f>VLOOKUP(MIN(Policies!L4,3),ClaimsTable,2,FALSE)</f>
        <v/>
      </c>
      <c r="Q4">
        <f>ROUND(H4*I4*K4*L4*M4*N4*O4*P4,2)</f>
        <v/>
      </c>
      <c r="R4">
        <f>IF(Policies!J4="Y",1,0)</f>
        <v/>
      </c>
      <c r="S4">
        <f>IF(AND(Policies!L4=0,B4&gt;=3),1,0)</f>
        <v/>
      </c>
      <c r="T4">
        <f>IF(B4&lt;=5,1,0)</f>
        <v/>
      </c>
      <c r="U4">
        <f>IF(Policies!K4="Basic",1,0)</f>
        <v/>
      </c>
      <c r="V4">
        <f>IF(Policies!K4="Fortified",1,0)</f>
        <v/>
      </c>
      <c r="W4">
        <f>SUMPRODUCT(R4:V4,CreditPcts)</f>
        <v/>
      </c>
      <c r="X4">
        <f>MIN(W4,CreditCap)</f>
        <v/>
      </c>
      <c r="Y4">
        <f>ROUND(Q4*(1-X4),2)</f>
        <v/>
      </c>
      <c r="Z4">
        <f>IF(Policies!I4="",0.02,Policies!I4)</f>
        <v/>
      </c>
      <c r="AA4">
        <f>IFERROR(VLOOKUP(Z4,HurrDedTable,2,FALSE),1)</f>
        <v/>
      </c>
      <c r="AB4">
        <f>IFERROR(INDEX(RateTables!$L$31:$L$33,MATCH(Policies!K4,RateTables!$K$31:$K$33,0)),1)</f>
        <v/>
      </c>
      <c r="AC4">
        <f>ROUND(F4*D4*J4*AA4*AB4,2)</f>
        <v/>
      </c>
      <c r="AD4">
        <f>MIN(AC4,Policies!G4*HurrCapPct)</f>
        <v/>
      </c>
      <c r="AE4">
        <f>Y4+AD4</f>
        <v/>
      </c>
      <c r="AF4" s="1">
        <f>EDATE(Policies!M4,Policies!N4)</f>
        <v/>
      </c>
      <c r="AG4">
        <f>ROUND(YEARFRAC(Policies!M4,AF4,3),4)</f>
        <v/>
      </c>
      <c r="AH4">
        <f>ROUND(AE4*AG4,2)</f>
        <v/>
      </c>
      <c r="AI4">
        <f>MAX(AH4,MinPremium)</f>
        <v/>
      </c>
      <c r="AJ4">
        <f>ROUNDUP(AI4,0)</f>
        <v/>
      </c>
      <c r="AK4">
        <f>VLOOKUP(Policies!N4,FeeTable,2,FALSE)</f>
        <v/>
      </c>
      <c r="AL4">
        <f>ROUND(AJ4*AssessRate,2)</f>
        <v/>
      </c>
      <c r="AM4">
        <f>ROUND((AJ4+AK4)*G4,2)</f>
        <v/>
      </c>
      <c r="AN4">
        <f>AJ4+AK4+AL4+AM4</f>
        <v/>
      </c>
      <c r="AO4">
        <f>IF(OR(Policies!G4&gt;1000000,C4&gt;20,Policies!L4&gt;=3),"REFER","OK")</f>
        <v/>
      </c>
      <c r="AP4">
        <f>ROUND(AH4/D4,3)</f>
        <v/>
      </c>
      <c r="AQ4">
        <f>Policies!B4&amp;"-"&amp;LEFT(Policies!C4,1)&amp;TEXT(Policies!D4,"00")</f>
        <v/>
      </c>
    </row>
    <row r="5">
      <c r="A5">
        <f>Policies!A5</f>
        <v/>
      </c>
      <c r="B5">
        <f>IFERROR(DATEDIF(DATE(Policies!E5,1,1),Policies!M5,"y"),0)</f>
        <v/>
      </c>
      <c r="C5">
        <f>Policies!F5*1</f>
        <v/>
      </c>
      <c r="D5">
        <f>Policies!G5/1000</f>
        <v/>
      </c>
      <c r="E5">
        <f>VLOOKUP(Policies!B5,BaseRates,2,FALSE)</f>
        <v/>
      </c>
      <c r="F5">
        <f>VLOOKUP(Policies!B5,BaseRates,3,FALSE)</f>
        <v/>
      </c>
      <c r="G5">
        <f>VLOOKUP(Policies!B5,BaseRates,4,FALSE)</f>
        <v/>
      </c>
      <c r="H5">
        <f>ROUND(E5*D5,2)</f>
        <v/>
      </c>
      <c r="I5">
        <f>INDEX(RateTables!$B$13:$B$16,MATCH(Policies!C5,RateTables!$A$13:$A$16,0))</f>
        <v/>
      </c>
      <c r="J5">
        <f>INDEX(RateTables!$C$13:$C$16,MATCH(Policies!C5,RateTables!$A$13:$A$16,0))</f>
        <v/>
      </c>
      <c r="K5">
        <f>INDEX(RateTables!$B$19:$C$28,MATCH(Policies!D5,RateTables!$A$19:$A$28,0),IF(Policies!C5="Frame",1,2))</f>
        <v/>
      </c>
      <c r="L5">
        <f>VLOOKUP(B5,AgeBands,2,TRUE)</f>
        <v/>
      </c>
      <c r="M5">
        <f>VLOOKUP(C5,RoofBands,2,TRUE)</f>
        <v/>
      </c>
      <c r="N5">
        <f>VLOOKUP(Policies!G5,AOIBands,2,TRUE)</f>
        <v/>
      </c>
      <c r="O5">
        <f>VLOOKUP(Policies!H5,RateTables!$A$31:$B$35,2,TRUE)</f>
        <v/>
      </c>
      <c r="P5">
        <f>VLOOKUP(MIN(Policies!L5,3),ClaimsTable,2,FALSE)</f>
        <v/>
      </c>
      <c r="Q5">
        <f>ROUND(H5*I5*K5*L5*M5*N5*O5*P5,2)</f>
        <v/>
      </c>
      <c r="R5">
        <f>IF(Policies!J5="Y",1,0)</f>
        <v/>
      </c>
      <c r="S5">
        <f>IF(AND(Policies!L5=0,B5&gt;=3),1,0)</f>
        <v/>
      </c>
      <c r="T5">
        <f>IF(B5&lt;=5,1,0)</f>
        <v/>
      </c>
      <c r="U5">
        <f>IF(Policies!K5="Basic",1,0)</f>
        <v/>
      </c>
      <c r="V5">
        <f>IF(Policies!K5="Fortified",1,0)</f>
        <v/>
      </c>
      <c r="W5">
        <f>SUMPRODUCT(R5:V5,CreditPcts)</f>
        <v/>
      </c>
      <c r="X5">
        <f>MIN(W5,CreditCap)</f>
        <v/>
      </c>
      <c r="Y5">
        <f>ROUND(Q5*(1-X5),2)</f>
        <v/>
      </c>
      <c r="Z5">
        <f>IF(Policies!I5="",0.02,Policies!I5)</f>
        <v/>
      </c>
      <c r="AA5">
        <f>IFERROR(VLOOKUP(Z5,HurrDedTable,2,FALSE),1)</f>
        <v/>
      </c>
      <c r="AB5">
        <f>IFERROR(INDEX(RateTables!$L$31:$L$33,MATCH(Policies!K5,RateTables!$K$31:$K$33,0)),1)</f>
        <v/>
      </c>
      <c r="AC5">
        <f>ROUND(F5*D5*J5*AA5*AB5,2)</f>
        <v/>
      </c>
      <c r="AD5">
        <f>MIN(AC5,Policies!G5*HurrCapPct)</f>
        <v/>
      </c>
      <c r="AE5">
        <f>Y5+AD5</f>
        <v/>
      </c>
      <c r="AF5" s="1">
        <f>EDATE(Policies!M5,Policies!N5)</f>
        <v/>
      </c>
      <c r="AG5">
        <f>ROUND(YEARFRAC(Policies!M5,AF5,3),4)</f>
        <v/>
      </c>
      <c r="AH5">
        <f>ROUND(AE5*AG5,2)</f>
        <v/>
      </c>
      <c r="AI5">
        <f>MAX(AH5,MinPremium)</f>
        <v/>
      </c>
      <c r="AJ5">
        <f>ROUNDUP(AI5,0)</f>
        <v/>
      </c>
      <c r="AK5">
        <f>VLOOKUP(Policies!N5,FeeTable,2,FALSE)</f>
        <v/>
      </c>
      <c r="AL5">
        <f>ROUND(AJ5*AssessRate,2)</f>
        <v/>
      </c>
      <c r="AM5">
        <f>ROUND((AJ5+AK5)*G5,2)</f>
        <v/>
      </c>
      <c r="AN5">
        <f>AJ5+AK5+AL5+AM5</f>
        <v/>
      </c>
      <c r="AO5">
        <f>IF(OR(Policies!G5&gt;1000000,C5&gt;20,Policies!L5&gt;=3),"REFER","OK")</f>
        <v/>
      </c>
      <c r="AP5">
        <f>ROUND(AH5/D5,3)</f>
        <v/>
      </c>
      <c r="AQ5">
        <f>Policies!B5&amp;"-"&amp;LEFT(Policies!C5,1)&amp;TEXT(Policies!D5,"00")</f>
        <v/>
      </c>
    </row>
    <row r="6">
      <c r="A6">
        <f>Policies!A6</f>
        <v/>
      </c>
      <c r="B6">
        <f>IFERROR(DATEDIF(DATE(Policies!E6,1,1),Policies!M6,"y"),0)</f>
        <v/>
      </c>
      <c r="C6">
        <f>Policies!F6*1</f>
        <v/>
      </c>
      <c r="D6">
        <f>Policies!G6/1000</f>
        <v/>
      </c>
      <c r="E6">
        <f>VLOOKUP(Policies!B6,BaseRates,2,FALSE)</f>
        <v/>
      </c>
      <c r="F6">
        <f>VLOOKUP(Policies!B6,BaseRates,3,FALSE)</f>
        <v/>
      </c>
      <c r="G6">
        <f>VLOOKUP(Policies!B6,BaseRates,4,FALSE)</f>
        <v/>
      </c>
      <c r="H6">
        <f>ROUND(E6*D6,2)</f>
        <v/>
      </c>
      <c r="I6">
        <f>INDEX(RateTables!$B$13:$B$16,MATCH(Policies!C6,RateTables!$A$13:$A$16,0))</f>
        <v/>
      </c>
      <c r="J6">
        <f>INDEX(RateTables!$C$13:$C$16,MATCH(Policies!C6,RateTables!$A$13:$A$16,0))</f>
        <v/>
      </c>
      <c r="K6">
        <f>INDEX(RateTables!$B$19:$C$28,MATCH(Policies!D6,RateTables!$A$19:$A$28,0),IF(Policies!C6="Frame",1,2))</f>
        <v/>
      </c>
      <c r="L6">
        <f>VLOOKUP(B6,AgeBands,2,TRUE)</f>
        <v/>
      </c>
      <c r="M6">
        <f>VLOOKUP(C6,RoofBands,2,TRUE)</f>
        <v/>
      </c>
      <c r="N6">
        <f>VLOOKUP(Policies!G6,AOIBands,2,TRUE)</f>
        <v/>
      </c>
      <c r="O6">
        <f>VLOOKUP(Policies!H6,RateTables!$A$31:$B$35,2,TRUE)</f>
        <v/>
      </c>
      <c r="P6">
        <f>VLOOKUP(MIN(Policies!L6,3),ClaimsTable,2,FALSE)</f>
        <v/>
      </c>
      <c r="Q6">
        <f>ROUND(H6*I6*K6*L6*M6*N6*O6*P6,2)</f>
        <v/>
      </c>
      <c r="R6">
        <f>IF(Policies!J6="Y",1,0)</f>
        <v/>
      </c>
      <c r="S6">
        <f>IF(AND(Policies!L6=0,B6&gt;=3),1,0)</f>
        <v/>
      </c>
      <c r="T6">
        <f>IF(B6&lt;=5,1,0)</f>
        <v/>
      </c>
      <c r="U6">
        <f>IF(Policies!K6="Basic",1,0)</f>
        <v/>
      </c>
      <c r="V6">
        <f>IF(Policies!K6="Fortified",1,0)</f>
        <v/>
      </c>
      <c r="W6">
        <f>SUMPRODUCT(R6:V6,CreditPcts)</f>
        <v/>
      </c>
      <c r="X6">
        <f>MIN(W6,CreditCap)</f>
        <v/>
      </c>
      <c r="Y6">
        <f>ROUND(Q6*(1-X6),2)</f>
        <v/>
      </c>
      <c r="Z6">
        <f>IF(Policies!I6="",0.02,Policies!I6)</f>
        <v/>
      </c>
      <c r="AA6">
        <f>IFERROR(VLOOKUP(Z6,HurrDedTable,2,FALSE),1)</f>
        <v/>
      </c>
      <c r="AB6">
        <f>IFERROR(INDEX(RateTables!$L$31:$L$33,MATCH(Policies!K6,RateTables!$K$31:$K$33,0)),1)</f>
        <v/>
      </c>
      <c r="AC6">
        <f>ROUND(F6*D6*J6*AA6*AB6,2)</f>
        <v/>
      </c>
      <c r="AD6">
        <f>MIN(AC6,Policies!G6*HurrCapPct)</f>
        <v/>
      </c>
      <c r="AE6">
        <f>Y6+AD6</f>
        <v/>
      </c>
      <c r="AF6" s="1">
        <f>EDATE(Policies!M6,Policies!N6)</f>
        <v/>
      </c>
      <c r="AG6">
        <f>ROUND(YEARFRAC(Policies!M6,AF6,3),4)</f>
        <v/>
      </c>
      <c r="AH6">
        <f>ROUND(AE6*AG6,2)</f>
        <v/>
      </c>
      <c r="AI6">
        <f>MAX(AH6,MinPremium)</f>
        <v/>
      </c>
      <c r="AJ6">
        <f>ROUNDUP(AI6,0)</f>
        <v/>
      </c>
      <c r="AK6">
        <f>VLOOKUP(Policies!N6,FeeTable,2,FALSE)</f>
        <v/>
      </c>
      <c r="AL6">
        <f>ROUND(AJ6*AssessRate,2)</f>
        <v/>
      </c>
      <c r="AM6">
        <f>ROUND((AJ6+AK6)*G6,2)</f>
        <v/>
      </c>
      <c r="AN6">
        <f>AJ6+AK6+AL6+AM6</f>
        <v/>
      </c>
      <c r="AO6">
        <f>IF(OR(Policies!G6&gt;1000000,C6&gt;20,Policies!L6&gt;=3),"REFER","OK")</f>
        <v/>
      </c>
      <c r="AP6">
        <f>ROUND(AH6/D6,3)</f>
        <v/>
      </c>
      <c r="AQ6">
        <f>Policies!B6&amp;"-"&amp;LEFT(Policies!C6,1)&amp;TEXT(Policies!D6,"00")</f>
        <v/>
      </c>
    </row>
    <row r="7">
      <c r="A7">
        <f>Policies!A7</f>
        <v/>
      </c>
      <c r="B7">
        <f>IFERROR(DATEDIF(DATE(Policies!E7,1,1),Policies!M7,"y"),0)</f>
        <v/>
      </c>
      <c r="C7">
        <f>Policies!F7*1</f>
        <v/>
      </c>
      <c r="D7">
        <f>Policies!G7/1000</f>
        <v/>
      </c>
      <c r="E7">
        <f>VLOOKUP(Policies!B7,BaseRates,2,FALSE)</f>
        <v/>
      </c>
      <c r="F7">
        <f>VLOOKUP(Policies!B7,BaseRates,3,FALSE)</f>
        <v/>
      </c>
      <c r="G7">
        <f>VLOOKUP(Policies!B7,BaseRates,4,FALSE)</f>
        <v/>
      </c>
      <c r="H7">
        <f>ROUND(E7*D7,2)</f>
        <v/>
      </c>
      <c r="I7">
        <f>INDEX(RateTables!$B$13:$B$16,MATCH(Policies!C7,RateTables!$A$13:$A$16,0))</f>
        <v/>
      </c>
      <c r="J7">
        <f>INDEX(RateTables!$C$13:$C$16,MATCH(Policies!C7,RateTables!$A$13:$A$16,0))</f>
        <v/>
      </c>
      <c r="K7">
        <f>INDEX(RateTables!$B$19:$C$28,MATCH(Policies!D7,RateTables!$A$19:$A$28,0),IF(Policies!C7="Frame",1,2))</f>
        <v/>
      </c>
      <c r="L7">
        <f>VLOOKUP(B7,AgeBands,2,TRUE)</f>
        <v/>
      </c>
      <c r="M7">
        <f>VLOOKUP(C7,RoofBands,2,TRUE)</f>
        <v/>
      </c>
      <c r="N7">
        <f>VLOOKUP(Policies!G7,AOIBands,2,TRUE)</f>
        <v/>
      </c>
      <c r="O7">
        <f>VLOOKUP(Policies!H7,RateTables!$A$31:$B$35,2,TRUE)</f>
        <v/>
      </c>
      <c r="P7">
        <f>VLOOKUP(MIN(Policies!L7,3),ClaimsTable,2,FALSE)</f>
        <v/>
      </c>
      <c r="Q7">
        <f>ROUND(H7*I7*K7*L7*M7*N7*O7*P7,2)</f>
        <v/>
      </c>
      <c r="R7">
        <f>IF(Policies!J7="Y",1,0)</f>
        <v/>
      </c>
      <c r="S7">
        <f>IF(AND(Policies!L7=0,B7&gt;=3),1,0)</f>
        <v/>
      </c>
      <c r="T7">
        <f>IF(B7&lt;=5,1,0)</f>
        <v/>
      </c>
      <c r="U7">
        <f>IF(Policies!K7="Basic",1,0)</f>
        <v/>
      </c>
      <c r="V7">
        <f>IF(Policies!K7="Fortified",1,0)</f>
        <v/>
      </c>
      <c r="W7">
        <f>SUMPRODUCT(R7:V7,CreditPcts)</f>
        <v/>
      </c>
      <c r="X7">
        <f>MIN(W7,CreditCap)</f>
        <v/>
      </c>
      <c r="Y7">
        <f>ROUND(Q7*(1-X7),2)</f>
        <v/>
      </c>
      <c r="Z7">
        <f>IF(Policies!I7="",0.02,Policies!I7)</f>
        <v/>
      </c>
      <c r="AA7">
        <f>IFERROR(VLOOKUP(Z7,HurrDedTable,2,FALSE),1)</f>
        <v/>
      </c>
      <c r="AB7">
        <f>IFERROR(INDEX(RateTables!$L$31:$L$33,MATCH(Policies!K7,RateTables!$K$31:$K$33,0)),1)</f>
        <v/>
      </c>
      <c r="AC7">
        <f>ROUND(F7*D7*J7*AA7*AB7,2)</f>
        <v/>
      </c>
      <c r="AD7">
        <f>MIN(AC7,Policies!G7*HurrCapPct)</f>
        <v/>
      </c>
      <c r="AE7">
        <f>Y7+AD7</f>
        <v/>
      </c>
      <c r="AF7" s="1">
        <f>EDATE(Policies!M7,Policies!N7)</f>
        <v/>
      </c>
      <c r="AG7">
        <f>ROUND(YEARFRAC(Policies!M7,AF7,3),4)</f>
        <v/>
      </c>
      <c r="AH7">
        <f>ROUND(AE7*AG7,2)</f>
        <v/>
      </c>
      <c r="AI7">
        <f>MAX(AH7,MinPremium)</f>
        <v/>
      </c>
      <c r="AJ7">
        <f>ROUNDUP(AI7,0)</f>
        <v/>
      </c>
      <c r="AK7">
        <f>VLOOKUP(Policies!N7,FeeTable,2,FALSE)</f>
        <v/>
      </c>
      <c r="AL7">
        <f>ROUND(AJ7*AssessRate,2)</f>
        <v/>
      </c>
      <c r="AM7">
        <f>ROUND((AJ7+AK7)*G7,2)</f>
        <v/>
      </c>
      <c r="AN7">
        <f>AJ7+AK7+AL7+AM7</f>
        <v/>
      </c>
      <c r="AO7">
        <f>IF(OR(Policies!G7&gt;1000000,C7&gt;20,Policies!L7&gt;=3),"REFER","OK")</f>
        <v/>
      </c>
      <c r="AP7">
        <f>ROUND(AH7/D7,3)</f>
        <v/>
      </c>
      <c r="AQ7">
        <f>Policies!B7&amp;"-"&amp;LEFT(Policies!C7,1)&amp;TEXT(Policies!D7,"00")</f>
        <v/>
      </c>
    </row>
    <row r="8">
      <c r="A8">
        <f>Policies!A8</f>
        <v/>
      </c>
      <c r="B8">
        <f>IFERROR(DATEDIF(DATE(Policies!E8,1,1),Policies!M8,"y"),0)</f>
        <v/>
      </c>
      <c r="C8">
        <f>Policies!F8*1</f>
        <v/>
      </c>
      <c r="D8">
        <f>Policies!G8/1000</f>
        <v/>
      </c>
      <c r="E8">
        <f>VLOOKUP(Policies!B8,BaseRates,2,FALSE)</f>
        <v/>
      </c>
      <c r="F8">
        <f>VLOOKUP(Policies!B8,BaseRates,3,FALSE)</f>
        <v/>
      </c>
      <c r="G8">
        <f>VLOOKUP(Policies!B8,BaseRates,4,FALSE)</f>
        <v/>
      </c>
      <c r="H8">
        <f>ROUND(E8*D8,2)</f>
        <v/>
      </c>
      <c r="I8">
        <f>INDEX(RateTables!$B$13:$B$16,MATCH(Policies!C8,RateTables!$A$13:$A$16,0))</f>
        <v/>
      </c>
      <c r="J8">
        <f>INDEX(RateTables!$C$13:$C$16,MATCH(Policies!C8,RateTables!$A$13:$A$16,0))</f>
        <v/>
      </c>
      <c r="K8">
        <f>INDEX(RateTables!$B$19:$C$28,MATCH(Policies!D8,RateTables!$A$19:$A$28,0),IF(Policies!C8="Frame",1,2))</f>
        <v/>
      </c>
      <c r="L8">
        <f>VLOOKUP(B8,AgeBands,2,TRUE)</f>
        <v/>
      </c>
      <c r="M8">
        <f>VLOOKUP(C8,RoofBands,2,TRUE)</f>
        <v/>
      </c>
      <c r="N8">
        <f>VLOOKUP(Policies!G8,AOIBands,2,TRUE)</f>
        <v/>
      </c>
      <c r="O8">
        <f>VLOOKUP(Policies!H8,RateTables!$A$31:$B$35,2,TRUE)</f>
        <v/>
      </c>
      <c r="P8">
        <f>VLOOKUP(MIN(Policies!L8,3),ClaimsTable,2,FALSE)</f>
        <v/>
      </c>
      <c r="Q8">
        <f>ROUND(H8*I8*K8*L8*M8*N8*O8*P8,2)</f>
        <v/>
      </c>
      <c r="R8">
        <f>IF(Policies!J8="Y",1,0)</f>
        <v/>
      </c>
      <c r="S8">
        <f>IF(AND(Policies!L8=0,B8&gt;=3),1,0)</f>
        <v/>
      </c>
      <c r="T8">
        <f>IF(B8&lt;=5,1,0)</f>
        <v/>
      </c>
      <c r="U8">
        <f>IF(Policies!K8="Basic",1,0)</f>
        <v/>
      </c>
      <c r="V8">
        <f>IF(Policies!K8="Fortified",1,0)</f>
        <v/>
      </c>
      <c r="W8">
        <f>SUMPRODUCT(R8:V8,CreditPcts)</f>
        <v/>
      </c>
      <c r="X8">
        <f>MIN(W8,CreditCap)</f>
        <v/>
      </c>
      <c r="Y8">
        <f>ROUND(Q8*(1-X8),2)</f>
        <v/>
      </c>
      <c r="Z8">
        <f>IF(Policies!I8="",0.02,Policies!I8)</f>
        <v/>
      </c>
      <c r="AA8">
        <f>IFERROR(VLOOKUP(Z8,HurrDedTable,2,FALSE),1)</f>
        <v/>
      </c>
      <c r="AB8">
        <f>IFERROR(INDEX(RateTables!$L$31:$L$33,MATCH(Policies!K8,RateTables!$K$31:$K$33,0)),1)</f>
        <v/>
      </c>
      <c r="AC8">
        <f>ROUND(F8*D8*J8*AA8*AB8,2)</f>
        <v/>
      </c>
      <c r="AD8">
        <f>MIN(AC8,Policies!G8*HurrCapPct)</f>
        <v/>
      </c>
      <c r="AE8">
        <f>Y8+AD8</f>
        <v/>
      </c>
      <c r="AF8" s="1">
        <f>EDATE(Policies!M8,Policies!N8)</f>
        <v/>
      </c>
      <c r="AG8">
        <f>ROUND(YEARFRAC(Policies!M8,AF8,3),4)</f>
        <v/>
      </c>
      <c r="AH8">
        <f>ROUND(AE8*AG8,2)</f>
        <v/>
      </c>
      <c r="AI8">
        <f>MAX(AH8,MinPremium)</f>
        <v/>
      </c>
      <c r="AJ8">
        <f>ROUNDUP(AI8,0)</f>
        <v/>
      </c>
      <c r="AK8">
        <f>VLOOKUP(Policies!N8,FeeTable,2,FALSE)</f>
        <v/>
      </c>
      <c r="AL8">
        <f>ROUND(AJ8*AssessRate,2)</f>
        <v/>
      </c>
      <c r="AM8">
        <f>ROUND((AJ8+AK8)*G8,2)</f>
        <v/>
      </c>
      <c r="AN8">
        <f>AJ8+AK8+AL8+AM8</f>
        <v/>
      </c>
      <c r="AO8">
        <f>IF(OR(Policies!G8&gt;1000000,C8&gt;20,Policies!L8&gt;=3),"REFER","OK")</f>
        <v/>
      </c>
      <c r="AP8">
        <f>ROUND(AH8/D8,3)</f>
        <v/>
      </c>
      <c r="AQ8">
        <f>Policies!B8&amp;"-"&amp;LEFT(Policies!C8,1)&amp;TEXT(Policies!D8,"00")</f>
        <v/>
      </c>
    </row>
    <row r="9">
      <c r="A9">
        <f>Policies!A9</f>
        <v/>
      </c>
      <c r="B9">
        <f>IFERROR(DATEDIF(DATE(Policies!E9,1,1),Policies!M9,"y"),0)</f>
        <v/>
      </c>
      <c r="C9">
        <f>Policies!F9*1</f>
        <v/>
      </c>
      <c r="D9">
        <f>Policies!G9/1000</f>
        <v/>
      </c>
      <c r="E9">
        <f>VLOOKUP(Policies!B9,BaseRates,2,FALSE)</f>
        <v/>
      </c>
      <c r="F9">
        <f>VLOOKUP(Policies!B9,BaseRates,3,FALSE)</f>
        <v/>
      </c>
      <c r="G9">
        <f>VLOOKUP(Policies!B9,BaseRates,4,FALSE)</f>
        <v/>
      </c>
      <c r="H9">
        <f>ROUND(E9*D9,2)</f>
        <v/>
      </c>
      <c r="I9">
        <f>INDEX(RateTables!$B$13:$B$16,MATCH(Policies!C9,RateTables!$A$13:$A$16,0))</f>
        <v/>
      </c>
      <c r="J9">
        <f>INDEX(RateTables!$C$13:$C$16,MATCH(Policies!C9,RateTables!$A$13:$A$16,0))</f>
        <v/>
      </c>
      <c r="K9">
        <f>INDEX(RateTables!$B$19:$C$28,MATCH(Policies!D9,RateTables!$A$19:$A$28,0),IF(Policies!C9="Frame",1,2))</f>
        <v/>
      </c>
      <c r="L9">
        <f>VLOOKUP(B9,AgeBands,2,TRUE)</f>
        <v/>
      </c>
      <c r="M9">
        <f>VLOOKUP(C9,RoofBands,2,TRUE)</f>
        <v/>
      </c>
      <c r="N9">
        <f>VLOOKUP(Policies!G9,AOIBands,2,TRUE)</f>
        <v/>
      </c>
      <c r="O9">
        <f>VLOOKUP(Policies!H9,RateTables!$A$31:$B$35,2,TRUE)</f>
        <v/>
      </c>
      <c r="P9">
        <f>VLOOKUP(MIN(Policies!L9,3),ClaimsTable,2,FALSE)</f>
        <v/>
      </c>
      <c r="Q9">
        <f>ROUND(H9*I9*K9*L9*M9*N9*O9*P9,2)</f>
        <v/>
      </c>
      <c r="R9">
        <f>IF(Policies!J9="Y",1,0)</f>
        <v/>
      </c>
      <c r="S9">
        <f>IF(AND(Policies!L9=0,B9&gt;=3),1,0)</f>
        <v/>
      </c>
      <c r="T9">
        <f>IF(B9&lt;=5,1,0)</f>
        <v/>
      </c>
      <c r="U9">
        <f>IF(Policies!K9="Basic",1,0)</f>
        <v/>
      </c>
      <c r="V9">
        <f>IF(Policies!K9="Fortified",1,0)</f>
        <v/>
      </c>
      <c r="W9">
        <f>SUMPRODUCT(R9:V9,CreditPcts)</f>
        <v/>
      </c>
      <c r="X9">
        <f>MIN(W9,CreditCap)</f>
        <v/>
      </c>
      <c r="Y9">
        <f>ROUND(Q9*(1-X9),2)</f>
        <v/>
      </c>
      <c r="Z9">
        <f>IF(Policies!I9="",0.02,Policies!I9)</f>
        <v/>
      </c>
      <c r="AA9">
        <f>IFERROR(VLOOKUP(Z9,HurrDedTable,2,FALSE),1)</f>
        <v/>
      </c>
      <c r="AB9">
        <f>IFERROR(INDEX(RateTables!$L$31:$L$33,MATCH(Policies!K9,RateTables!$K$31:$K$33,0)),1)</f>
        <v/>
      </c>
      <c r="AC9">
        <f>ROUND(F9*D9*J9*AA9*AB9,2)</f>
        <v/>
      </c>
      <c r="AD9">
        <f>MIN(AC9,Policies!G9*HurrCapPct)</f>
        <v/>
      </c>
      <c r="AE9">
        <f>Y9+AD9</f>
        <v/>
      </c>
      <c r="AF9" s="1">
        <f>EDATE(Policies!M9,Policies!N9)</f>
        <v/>
      </c>
      <c r="AG9">
        <f>ROUND(YEARFRAC(Policies!M9,AF9,3),4)</f>
        <v/>
      </c>
      <c r="AH9">
        <f>ROUND(AE9*AG9,2)</f>
        <v/>
      </c>
      <c r="AI9">
        <f>MAX(AH9,MinPremium)</f>
        <v/>
      </c>
      <c r="AJ9">
        <f>ROUNDUP(AI9,0)</f>
        <v/>
      </c>
      <c r="AK9">
        <f>VLOOKUP(Policies!N9,FeeTable,2,FALSE)</f>
        <v/>
      </c>
      <c r="AL9">
        <f>ROUND(AJ9*AssessRate,2)</f>
        <v/>
      </c>
      <c r="AM9">
        <f>ROUND((AJ9+AK9)*G9,2)</f>
        <v/>
      </c>
      <c r="AN9">
        <f>AJ9+AK9+AL9+AM9</f>
        <v/>
      </c>
      <c r="AO9">
        <f>IF(OR(Policies!G9&gt;1000000,C9&gt;20,Policies!L9&gt;=3),"REFER","OK")</f>
        <v/>
      </c>
      <c r="AP9">
        <f>ROUND(AH9/D9,3)</f>
        <v/>
      </c>
      <c r="AQ9">
        <f>Policies!B9&amp;"-"&amp;LEFT(Policies!C9,1)&amp;TEXT(Policies!D9,"00")</f>
        <v/>
      </c>
    </row>
    <row r="10">
      <c r="A10">
        <f>Policies!A10</f>
        <v/>
      </c>
      <c r="B10">
        <f>IFERROR(DATEDIF(DATE(Policies!E10,1,1),Policies!M10,"y"),0)</f>
        <v/>
      </c>
      <c r="C10">
        <f>Policies!F10*1</f>
        <v/>
      </c>
      <c r="D10">
        <f>Policies!G10/1000</f>
        <v/>
      </c>
      <c r="E10">
        <f>VLOOKUP(Policies!B10,BaseRates,2,FALSE)</f>
        <v/>
      </c>
      <c r="F10">
        <f>VLOOKUP(Policies!B10,BaseRates,3,FALSE)</f>
        <v/>
      </c>
      <c r="G10">
        <f>VLOOKUP(Policies!B10,BaseRates,4,FALSE)</f>
        <v/>
      </c>
      <c r="H10">
        <f>ROUND(E10*D10,2)</f>
        <v/>
      </c>
      <c r="I10">
        <f>INDEX(RateTables!$B$13:$B$16,MATCH(Policies!C10,RateTables!$A$13:$A$16,0))</f>
        <v/>
      </c>
      <c r="J10">
        <f>INDEX(RateTables!$C$13:$C$16,MATCH(Policies!C10,RateTables!$A$13:$A$16,0))</f>
        <v/>
      </c>
      <c r="K10">
        <f>INDEX(RateTables!$B$19:$C$28,MATCH(Policies!D10,RateTables!$A$19:$A$28,0),IF(Policies!C10="Frame",1,2))</f>
        <v/>
      </c>
      <c r="L10">
        <f>VLOOKUP(B10,AgeBands,2,TRUE)</f>
        <v/>
      </c>
      <c r="M10">
        <f>VLOOKUP(C10,RoofBands,2,TRUE)</f>
        <v/>
      </c>
      <c r="N10">
        <f>VLOOKUP(Policies!G10,AOIBands,2,TRUE)</f>
        <v/>
      </c>
      <c r="O10">
        <f>VLOOKUP(Policies!H10,RateTables!$A$31:$B$35,2,TRUE)</f>
        <v/>
      </c>
      <c r="P10">
        <f>VLOOKUP(MIN(Policies!L10,3),ClaimsTable,2,FALSE)</f>
        <v/>
      </c>
      <c r="Q10">
        <f>ROUND(H10*I10*K10*L10*M10*N10*O10*P10,2)</f>
        <v/>
      </c>
      <c r="R10">
        <f>IF(Policies!J10="Y",1,0)</f>
        <v/>
      </c>
      <c r="S10">
        <f>IF(AND(Policies!L10=0,B10&gt;=3),1,0)</f>
        <v/>
      </c>
      <c r="T10">
        <f>IF(B10&lt;=5,1,0)</f>
        <v/>
      </c>
      <c r="U10">
        <f>IF(Policies!K10="Basic",1,0)</f>
        <v/>
      </c>
      <c r="V10">
        <f>IF(Policies!K10="Fortified",1,0)</f>
        <v/>
      </c>
      <c r="W10">
        <f>SUMPRODUCT(R10:V10,CreditPcts)</f>
        <v/>
      </c>
      <c r="X10">
        <f>MIN(W10,CreditCap)</f>
        <v/>
      </c>
      <c r="Y10">
        <f>ROUND(Q10*(1-X10),2)</f>
        <v/>
      </c>
      <c r="Z10">
        <f>IF(Policies!I10="",0.02,Policies!I10)</f>
        <v/>
      </c>
      <c r="AA10">
        <f>IFERROR(VLOOKUP(Z10,HurrDedTable,2,FALSE),1)</f>
        <v/>
      </c>
      <c r="AB10">
        <f>IFERROR(INDEX(RateTables!$L$31:$L$33,MATCH(Policies!K10,RateTables!$K$31:$K$33,0)),1)</f>
        <v/>
      </c>
      <c r="AC10">
        <f>ROUND(F10*D10*J10*AA10*AB10,2)</f>
        <v/>
      </c>
      <c r="AD10">
        <f>MIN(AC10,Policies!G10*HurrCapPct)</f>
        <v/>
      </c>
      <c r="AE10">
        <f>Y10+AD10</f>
        <v/>
      </c>
      <c r="AF10" s="1">
        <f>EDATE(Policies!M10,Policies!N10)</f>
        <v/>
      </c>
      <c r="AG10">
        <f>ROUND(YEARFRAC(Policies!M10,AF10,3),4)</f>
        <v/>
      </c>
      <c r="AH10">
        <f>ROUND(AE10*AG10,2)</f>
        <v/>
      </c>
      <c r="AI10">
        <f>MAX(AH10,MinPremium)</f>
        <v/>
      </c>
      <c r="AJ10">
        <f>ROUNDUP(AI10,0)</f>
        <v/>
      </c>
      <c r="AK10">
        <f>VLOOKUP(Policies!N10,FeeTable,2,FALSE)</f>
        <v/>
      </c>
      <c r="AL10">
        <f>ROUND(AJ10*AssessRate,2)</f>
        <v/>
      </c>
      <c r="AM10">
        <f>ROUND((AJ10+AK10)*G10,2)</f>
        <v/>
      </c>
      <c r="AN10">
        <f>AJ10+AK10+AL10+AM10</f>
        <v/>
      </c>
      <c r="AO10">
        <f>IF(OR(Policies!G10&gt;1000000,C10&gt;20,Policies!L10&gt;=3),"REFER","OK")</f>
        <v/>
      </c>
      <c r="AP10">
        <f>ROUND(AH10/D10,3)</f>
        <v/>
      </c>
      <c r="AQ10">
        <f>Policies!B10&amp;"-"&amp;LEFT(Policies!C10,1)&amp;TEXT(Policies!D10,"00")</f>
        <v/>
      </c>
    </row>
    <row r="11">
      <c r="A11">
        <f>Policies!A11</f>
        <v/>
      </c>
      <c r="B11">
        <f>IFERROR(DATEDIF(DATE(Policies!E11,1,1),Policies!M11,"y"),0)</f>
        <v/>
      </c>
      <c r="C11">
        <f>Policies!F11*1</f>
        <v/>
      </c>
      <c r="D11">
        <f>Policies!G11/1000</f>
        <v/>
      </c>
      <c r="E11">
        <f>VLOOKUP(Policies!B11,BaseRates,2,FALSE)</f>
        <v/>
      </c>
      <c r="F11">
        <f>VLOOKUP(Policies!B11,BaseRates,3,FALSE)</f>
        <v/>
      </c>
      <c r="G11">
        <f>VLOOKUP(Policies!B11,BaseRates,4,FALSE)</f>
        <v/>
      </c>
      <c r="H11">
        <f>ROUND(E11*D11,2)</f>
        <v/>
      </c>
      <c r="I11">
        <f>INDEX(RateTables!$B$13:$B$16,MATCH(Policies!C11,RateTables!$A$13:$A$16,0))</f>
        <v/>
      </c>
      <c r="J11">
        <f>INDEX(RateTables!$C$13:$C$16,MATCH(Policies!C11,RateTables!$A$13:$A$16,0))</f>
        <v/>
      </c>
      <c r="K11">
        <f>INDEX(RateTables!$B$19:$C$28,MATCH(Policies!D11,RateTables!$A$19:$A$28,0),IF(Policies!C11="Frame",1,2))</f>
        <v/>
      </c>
      <c r="L11">
        <f>VLOOKUP(B11,AgeBands,2,TRUE)</f>
        <v/>
      </c>
      <c r="M11">
        <f>VLOOKUP(C11,RoofBands,2,TRUE)</f>
        <v/>
      </c>
      <c r="N11">
        <f>VLOOKUP(Policies!G11,AOIBands,2,TRUE)</f>
        <v/>
      </c>
      <c r="O11">
        <f>VLOOKUP(Policies!H11,RateTables!$A$31:$B$35,2,TRUE)</f>
        <v/>
      </c>
      <c r="P11">
        <f>VLOOKUP(MIN(Policies!L11,3),ClaimsTable,2,FALSE)</f>
        <v/>
      </c>
      <c r="Q11">
        <f>ROUND(H11*I11*K11*L11*M11*N11*O11*P11,2)</f>
        <v/>
      </c>
      <c r="R11">
        <f>IF(Policies!J11="Y",1,0)</f>
        <v/>
      </c>
      <c r="S11">
        <f>IF(AND(Policies!L11=0,B11&gt;=3),1,0)</f>
        <v/>
      </c>
      <c r="T11">
        <f>IF(B11&lt;=5,1,0)</f>
        <v/>
      </c>
      <c r="U11">
        <f>IF(Policies!K11="Basic",1,0)</f>
        <v/>
      </c>
      <c r="V11">
        <f>IF(Policies!K11="Fortified",1,0)</f>
        <v/>
      </c>
      <c r="W11">
        <f>SUMPRODUCT(R11:V11,CreditPcts)</f>
        <v/>
      </c>
      <c r="X11">
        <f>MIN(W11,CreditCap)</f>
        <v/>
      </c>
      <c r="Y11">
        <f>ROUND(Q11*(1-X11),2)</f>
        <v/>
      </c>
      <c r="Z11">
        <f>IF(Policies!I11="",0.02,Policies!I11)</f>
        <v/>
      </c>
      <c r="AA11">
        <f>IFERROR(VLOOKUP(Z11,HurrDedTable,2,FALSE),1)</f>
        <v/>
      </c>
      <c r="AB11">
        <f>IFERROR(INDEX(RateTables!$L$31:$L$33,MATCH(Policies!K11,RateTables!$K$31:$K$33,0)),1)</f>
        <v/>
      </c>
      <c r="AC11">
        <f>ROUND(F11*D11*J11*AA11*AB11,2)</f>
        <v/>
      </c>
      <c r="AD11">
        <f>MIN(AC11,Policies!G11*HurrCapPct)</f>
        <v/>
      </c>
      <c r="AE11">
        <f>Y11+AD11</f>
        <v/>
      </c>
      <c r="AF11" s="1">
        <f>EDATE(Policies!M11,Policies!N11)</f>
        <v/>
      </c>
      <c r="AG11">
        <f>ROUND(YEARFRAC(Policies!M11,AF11,3),4)</f>
        <v/>
      </c>
      <c r="AH11">
        <f>ROUND(AE11*AG11,2)</f>
        <v/>
      </c>
      <c r="AI11">
        <f>MAX(AH11,MinPremium)</f>
        <v/>
      </c>
      <c r="AJ11">
        <f>ROUNDUP(AI11,0)</f>
        <v/>
      </c>
      <c r="AK11">
        <f>VLOOKUP(Policies!N11,FeeTable,2,FALSE)</f>
        <v/>
      </c>
      <c r="AL11">
        <f>ROUND(AJ11*AssessRate,2)</f>
        <v/>
      </c>
      <c r="AM11">
        <f>ROUND((AJ11+AK11)*G11,2)</f>
        <v/>
      </c>
      <c r="AN11">
        <f>AJ11+AK11+AL11+AM11</f>
        <v/>
      </c>
      <c r="AO11">
        <f>IF(OR(Policies!G11&gt;1000000,C11&gt;20,Policies!L11&gt;=3),"REFER","OK")</f>
        <v/>
      </c>
      <c r="AP11">
        <f>ROUND(AH11/D11,3)</f>
        <v/>
      </c>
      <c r="AQ11">
        <f>Policies!B11&amp;"-"&amp;LEFT(Policies!C11,1)&amp;TEXT(Policies!D11,"00")</f>
        <v/>
      </c>
    </row>
    <row r="12">
      <c r="A12">
        <f>Policies!A12</f>
        <v/>
      </c>
      <c r="B12">
        <f>IFERROR(DATEDIF(DATE(Policies!E12,1,1),Policies!M12,"y"),0)</f>
        <v/>
      </c>
      <c r="C12">
        <f>Policies!F12*1</f>
        <v/>
      </c>
      <c r="D12">
        <f>Policies!G12/1000</f>
        <v/>
      </c>
      <c r="E12">
        <f>VLOOKUP(Policies!B12,BaseRates,2,FALSE)</f>
        <v/>
      </c>
      <c r="F12">
        <f>VLOOKUP(Policies!B12,BaseRates,3,FALSE)</f>
        <v/>
      </c>
      <c r="G12">
        <f>VLOOKUP(Policies!B12,BaseRates,4,FALSE)</f>
        <v/>
      </c>
      <c r="H12">
        <f>ROUND(E12*D12,2)</f>
        <v/>
      </c>
      <c r="I12">
        <f>INDEX(RateTables!$B$13:$B$16,MATCH(Policies!C12,RateTables!$A$13:$A$16,0))</f>
        <v/>
      </c>
      <c r="J12">
        <f>INDEX(RateTables!$C$13:$C$16,MATCH(Policies!C12,RateTables!$A$13:$A$16,0))</f>
        <v/>
      </c>
      <c r="K12">
        <f>INDEX(RateTables!$B$19:$C$28,MATCH(Policies!D12,RateTables!$A$19:$A$28,0),IF(Policies!C12="Frame",1,2))</f>
        <v/>
      </c>
      <c r="L12">
        <f>VLOOKUP(B12,AgeBands,2,TRUE)</f>
        <v/>
      </c>
      <c r="M12">
        <f>VLOOKUP(C12,RoofBands,2,TRUE)</f>
        <v/>
      </c>
      <c r="N12">
        <f>VLOOKUP(Policies!G12,AOIBands,2,TRUE)</f>
        <v/>
      </c>
      <c r="O12">
        <f>VLOOKUP(Policies!H12,RateTables!$A$31:$B$35,2,TRUE)</f>
        <v/>
      </c>
      <c r="P12">
        <f>VLOOKUP(MIN(Policies!L12,3),ClaimsTable,2,FALSE)</f>
        <v/>
      </c>
      <c r="Q12">
        <f>ROUND(H12*I12*K12*L12*M12*N12*O12*P12,2)</f>
        <v/>
      </c>
      <c r="R12">
        <f>IF(Policies!J12="Y",1,0)</f>
        <v/>
      </c>
      <c r="S12">
        <f>IF(AND(Policies!L12=0,B12&gt;=3),1,0)</f>
        <v/>
      </c>
      <c r="T12">
        <f>IF(B12&lt;=5,1,0)</f>
        <v/>
      </c>
      <c r="U12">
        <f>IF(Policies!K12="Basic",1,0)</f>
        <v/>
      </c>
      <c r="V12">
        <f>IF(Policies!K12="Fortified",1,0)</f>
        <v/>
      </c>
      <c r="W12">
        <f>SUMPRODUCT(R12:V12,CreditPcts)</f>
        <v/>
      </c>
      <c r="X12">
        <f>MIN(W12,CreditCap)</f>
        <v/>
      </c>
      <c r="Y12">
        <f>ROUND(Q12*(1-X12),2)</f>
        <v/>
      </c>
      <c r="Z12">
        <f>IF(Policies!I12="",0.02,Policies!I12)</f>
        <v/>
      </c>
      <c r="AA12">
        <f>IFERROR(VLOOKUP(Z12,HurrDedTable,2,FALSE),1)</f>
        <v/>
      </c>
      <c r="AB12">
        <f>IFERROR(INDEX(RateTables!$L$31:$L$33,MATCH(Policies!K12,RateTables!$K$31:$K$33,0)),1)</f>
        <v/>
      </c>
      <c r="AC12">
        <f>ROUND(F12*D12*J12*AA12*AB12,2)</f>
        <v/>
      </c>
      <c r="AD12">
        <f>MIN(AC12,Policies!G12*HurrCapPct)</f>
        <v/>
      </c>
      <c r="AE12">
        <f>Y12+AD12</f>
        <v/>
      </c>
      <c r="AF12" s="1">
        <f>EDATE(Policies!M12,Policies!N12)</f>
        <v/>
      </c>
      <c r="AG12">
        <f>ROUND(YEARFRAC(Policies!M12,AF12,3),4)</f>
        <v/>
      </c>
      <c r="AH12">
        <f>ROUND(AE12*AG12,2)</f>
        <v/>
      </c>
      <c r="AI12">
        <f>MAX(AH12,MinPremium)</f>
        <v/>
      </c>
      <c r="AJ12">
        <f>ROUNDUP(AI12,0)</f>
        <v/>
      </c>
      <c r="AK12">
        <f>VLOOKUP(Policies!N12,FeeTable,2,FALSE)</f>
        <v/>
      </c>
      <c r="AL12">
        <f>ROUND(AJ12*AssessRate,2)</f>
        <v/>
      </c>
      <c r="AM12">
        <f>ROUND((AJ12+AK12)*G12,2)</f>
        <v/>
      </c>
      <c r="AN12">
        <f>AJ12+AK12+AL12+AM12</f>
        <v/>
      </c>
      <c r="AO12">
        <f>IF(OR(Policies!G12&gt;1000000,C12&gt;20,Policies!L12&gt;=3),"REFER","OK")</f>
        <v/>
      </c>
      <c r="AP12">
        <f>ROUND(AH12/D12,3)</f>
        <v/>
      </c>
      <c r="AQ12">
        <f>Policies!B12&amp;"-"&amp;LEFT(Policies!C12,1)&amp;TEXT(Policies!D12,"00")</f>
        <v/>
      </c>
    </row>
    <row r="13">
      <c r="A13">
        <f>Policies!A13</f>
        <v/>
      </c>
      <c r="B13">
        <f>IFERROR(DATEDIF(DATE(Policies!E13,1,1),Policies!M13,"y"),0)</f>
        <v/>
      </c>
      <c r="C13">
        <f>Policies!F13*1</f>
        <v/>
      </c>
      <c r="D13">
        <f>Policies!G13/1000</f>
        <v/>
      </c>
      <c r="E13">
        <f>VLOOKUP(Policies!B13,BaseRates,2,FALSE)</f>
        <v/>
      </c>
      <c r="F13">
        <f>VLOOKUP(Policies!B13,BaseRates,3,FALSE)</f>
        <v/>
      </c>
      <c r="G13">
        <f>VLOOKUP(Policies!B13,BaseRates,4,FALSE)</f>
        <v/>
      </c>
      <c r="H13">
        <f>ROUND(E13*D13,2)</f>
        <v/>
      </c>
      <c r="I13">
        <f>INDEX(RateTables!$B$13:$B$16,MATCH(Policies!C13,RateTables!$A$13:$A$16,0))</f>
        <v/>
      </c>
      <c r="J13">
        <f>INDEX(RateTables!$C$13:$C$16,MATCH(Policies!C13,RateTables!$A$13:$A$16,0))</f>
        <v/>
      </c>
      <c r="K13">
        <f>INDEX(RateTables!$B$19:$C$28,MATCH(Policies!D13,RateTables!$A$19:$A$28,0),IF(Policies!C13="Frame",1,2))</f>
        <v/>
      </c>
      <c r="L13">
        <f>VLOOKUP(B13,AgeBands,2,TRUE)</f>
        <v/>
      </c>
      <c r="M13">
        <f>VLOOKUP(C13,RoofBands,2,TRUE)</f>
        <v/>
      </c>
      <c r="N13">
        <f>VLOOKUP(Policies!G13,AOIBands,2,TRUE)</f>
        <v/>
      </c>
      <c r="O13">
        <f>VLOOKUP(Policies!H13,RateTables!$A$31:$B$35,2,TRUE)</f>
        <v/>
      </c>
      <c r="P13">
        <f>VLOOKUP(MIN(Policies!L13,3),ClaimsTable,2,FALSE)</f>
        <v/>
      </c>
      <c r="Q13">
        <f>ROUND(H13*I13*K13*L13*M13*N13*O13*P13,2)</f>
        <v/>
      </c>
      <c r="R13">
        <f>IF(Policies!J13="Y",1,0)</f>
        <v/>
      </c>
      <c r="S13">
        <f>IF(AND(Policies!L13=0,B13&gt;=3),1,0)</f>
        <v/>
      </c>
      <c r="T13">
        <f>IF(B13&lt;=5,1,0)</f>
        <v/>
      </c>
      <c r="U13">
        <f>IF(Policies!K13="Basic",1,0)</f>
        <v/>
      </c>
      <c r="V13">
        <f>IF(Policies!K13="Fortified",1,0)</f>
        <v/>
      </c>
      <c r="W13">
        <f>SUMPRODUCT(R13:V13,CreditPcts)</f>
        <v/>
      </c>
      <c r="X13">
        <f>MIN(W13,CreditCap)</f>
        <v/>
      </c>
      <c r="Y13">
        <f>ROUND(Q13*(1-X13),2)</f>
        <v/>
      </c>
      <c r="Z13">
        <f>IF(Policies!I13="",0.02,Policies!I13)</f>
        <v/>
      </c>
      <c r="AA13">
        <f>IFERROR(VLOOKUP(Z13,HurrDedTable,2,FALSE),1)</f>
        <v/>
      </c>
      <c r="AB13">
        <f>IFERROR(INDEX(RateTables!$L$31:$L$33,MATCH(Policies!K13,RateTables!$K$31:$K$33,0)),1)</f>
        <v/>
      </c>
      <c r="AC13">
        <f>ROUND(F13*D13*J13*AA13*AB13,2)</f>
        <v/>
      </c>
      <c r="AD13">
        <f>MIN(AC13,Policies!G13*HurrCapPct)</f>
        <v/>
      </c>
      <c r="AE13">
        <f>Y13+AD13</f>
        <v/>
      </c>
      <c r="AF13" s="1">
        <f>EDATE(Policies!M13,Policies!N13)</f>
        <v/>
      </c>
      <c r="AG13">
        <f>ROUND(YEARFRAC(Policies!M13,AF13,3),4)</f>
        <v/>
      </c>
      <c r="AH13">
        <f>ROUND(AE13*AG13,2)</f>
        <v/>
      </c>
      <c r="AI13">
        <f>MAX(AH13,MinPremium)</f>
        <v/>
      </c>
      <c r="AJ13">
        <f>ROUNDUP(AI13,0)</f>
        <v/>
      </c>
      <c r="AK13">
        <f>VLOOKUP(Policies!N13,FeeTable,2,FALSE)</f>
        <v/>
      </c>
      <c r="AL13">
        <f>ROUND(AJ13*AssessRate,2)</f>
        <v/>
      </c>
      <c r="AM13">
        <f>ROUND((AJ13+AK13)*G13,2)</f>
        <v/>
      </c>
      <c r="AN13">
        <f>AJ13+AK13+AL13+AM13</f>
        <v/>
      </c>
      <c r="AO13">
        <f>IF(OR(Policies!G13&gt;1000000,C13&gt;20,Policies!L13&gt;=3),"REFER","OK")</f>
        <v/>
      </c>
      <c r="AP13">
        <f>ROUND(AH13/D13,3)</f>
        <v/>
      </c>
      <c r="AQ13">
        <f>Policies!B13&amp;"-"&amp;LEFT(Policies!C13,1)&amp;TEXT(Policies!D13,"00")</f>
        <v/>
      </c>
    </row>
    <row r="14">
      <c r="A14">
        <f>Policies!A14</f>
        <v/>
      </c>
      <c r="B14">
        <f>IFERROR(DATEDIF(DATE(Policies!E14,1,1),Policies!M14,"y"),0)</f>
        <v/>
      </c>
      <c r="C14">
        <f>Policies!F14*1</f>
        <v/>
      </c>
      <c r="D14">
        <f>Policies!G14/1000</f>
        <v/>
      </c>
      <c r="E14">
        <f>VLOOKUP(Policies!B14,BaseRates,2,FALSE)</f>
        <v/>
      </c>
      <c r="F14">
        <f>VLOOKUP(Policies!B14,BaseRates,3,FALSE)</f>
        <v/>
      </c>
      <c r="G14">
        <f>VLOOKUP(Policies!B14,BaseRates,4,FALSE)</f>
        <v/>
      </c>
      <c r="H14">
        <f>ROUND(E14*D14,2)</f>
        <v/>
      </c>
      <c r="I14">
        <f>INDEX(RateTables!$B$13:$B$16,MATCH(Policies!C14,RateTables!$A$13:$A$16,0))</f>
        <v/>
      </c>
      <c r="J14">
        <f>INDEX(RateTables!$C$13:$C$16,MATCH(Policies!C14,RateTables!$A$13:$A$16,0))</f>
        <v/>
      </c>
      <c r="K14">
        <f>INDEX(RateTables!$B$19:$C$28,MATCH(Policies!D14,RateTables!$A$19:$A$28,0),IF(Policies!C14="Frame",1,2))</f>
        <v/>
      </c>
      <c r="L14">
        <f>VLOOKUP(B14,AgeBands,2,TRUE)</f>
        <v/>
      </c>
      <c r="M14">
        <f>VLOOKUP(C14,RoofBands,2,TRUE)</f>
        <v/>
      </c>
      <c r="N14">
        <f>VLOOKUP(Policies!G14,AOIBands,2,TRUE)</f>
        <v/>
      </c>
      <c r="O14">
        <f>VLOOKUP(Policies!H14,RateTables!$A$31:$B$35,2,TRUE)</f>
        <v/>
      </c>
      <c r="P14">
        <f>VLOOKUP(MIN(Policies!L14,3),ClaimsTable,2,FALSE)</f>
        <v/>
      </c>
      <c r="Q14">
        <f>ROUND(H14*I14*K14*L14*M14*N14*O14*P14,2)</f>
        <v/>
      </c>
      <c r="R14">
        <f>IF(Policies!J14="Y",1,0)</f>
        <v/>
      </c>
      <c r="S14">
        <f>IF(AND(Policies!L14=0,B14&gt;=3),1,0)</f>
        <v/>
      </c>
      <c r="T14">
        <f>IF(B14&lt;=5,1,0)</f>
        <v/>
      </c>
      <c r="U14">
        <f>IF(Policies!K14="Basic",1,0)</f>
        <v/>
      </c>
      <c r="V14">
        <f>IF(Policies!K14="Fortified",1,0)</f>
        <v/>
      </c>
      <c r="W14">
        <f>SUMPRODUCT(R14:V14,CreditPcts)</f>
        <v/>
      </c>
      <c r="X14">
        <f>MIN(W14,CreditCap)</f>
        <v/>
      </c>
      <c r="Y14">
        <f>ROUND(Q14*(1-X14),2)</f>
        <v/>
      </c>
      <c r="Z14">
        <f>IF(Policies!I14="",0.02,Policies!I14)</f>
        <v/>
      </c>
      <c r="AA14">
        <f>IFERROR(VLOOKUP(Z14,HurrDedTable,2,FALSE),1)</f>
        <v/>
      </c>
      <c r="AB14">
        <f>IFERROR(INDEX(RateTables!$L$31:$L$33,MATCH(Policies!K14,RateTables!$K$31:$K$33,0)),1)</f>
        <v/>
      </c>
      <c r="AC14">
        <f>ROUND(F14*D14*J14*AA14*AB14,2)</f>
        <v/>
      </c>
      <c r="AD14">
        <f>MIN(AC14,Policies!G14*HurrCapPct)</f>
        <v/>
      </c>
      <c r="AE14">
        <f>Y14+AD14</f>
        <v/>
      </c>
      <c r="AF14" s="1">
        <f>EDATE(Policies!M14,Policies!N14)</f>
        <v/>
      </c>
      <c r="AG14">
        <f>ROUND(YEARFRAC(Policies!M14,AF14,3),4)</f>
        <v/>
      </c>
      <c r="AH14">
        <f>ROUND(AE14*AG14,2)</f>
        <v/>
      </c>
      <c r="AI14">
        <f>MAX(AH14,MinPremium)</f>
        <v/>
      </c>
      <c r="AJ14">
        <f>ROUNDUP(AI14,0)</f>
        <v/>
      </c>
      <c r="AK14">
        <f>VLOOKUP(Policies!N14,FeeTable,2,FALSE)</f>
        <v/>
      </c>
      <c r="AL14">
        <f>ROUND(AJ14*AssessRate,2)</f>
        <v/>
      </c>
      <c r="AM14">
        <f>ROUND((AJ14+AK14)*G14,2)</f>
        <v/>
      </c>
      <c r="AN14">
        <f>AJ14+AK14+AL14+AM14</f>
        <v/>
      </c>
      <c r="AO14">
        <f>IF(OR(Policies!G14&gt;1000000,C14&gt;20,Policies!L14&gt;=3),"REFER","OK")</f>
        <v/>
      </c>
      <c r="AP14">
        <f>ROUND(AH14/D14,3)</f>
        <v/>
      </c>
      <c r="AQ14">
        <f>Policies!B14&amp;"-"&amp;LEFT(Policies!C14,1)&amp;TEXT(Policies!D14,"00")</f>
        <v/>
      </c>
    </row>
    <row r="15">
      <c r="A15">
        <f>Policies!A15</f>
        <v/>
      </c>
      <c r="B15">
        <f>IFERROR(DATEDIF(DATE(Policies!E15,1,1),Policies!M15,"y"),0)</f>
        <v/>
      </c>
      <c r="C15">
        <f>Policies!F15*1</f>
        <v/>
      </c>
      <c r="D15">
        <f>Policies!G15/1000</f>
        <v/>
      </c>
      <c r="E15">
        <f>VLOOKUP(Policies!B15,BaseRates,2,FALSE)</f>
        <v/>
      </c>
      <c r="F15">
        <f>VLOOKUP(Policies!B15,BaseRates,3,FALSE)</f>
        <v/>
      </c>
      <c r="G15">
        <f>VLOOKUP(Policies!B15,BaseRates,4,FALSE)</f>
        <v/>
      </c>
      <c r="H15">
        <f>ROUND(E15*D15,2)</f>
        <v/>
      </c>
      <c r="I15">
        <f>INDEX(RateTables!$B$13:$B$16,MATCH(Policies!C15,RateTables!$A$13:$A$16,0))</f>
        <v/>
      </c>
      <c r="J15">
        <f>INDEX(RateTables!$C$13:$C$16,MATCH(Policies!C15,RateTables!$A$13:$A$16,0))</f>
        <v/>
      </c>
      <c r="K15">
        <f>INDEX(RateTables!$B$19:$C$28,MATCH(Policies!D15,RateTables!$A$19:$A$28,0),IF(Policies!C15="Frame",1,2))</f>
        <v/>
      </c>
      <c r="L15">
        <f>VLOOKUP(B15,AgeBands,2,TRUE)</f>
        <v/>
      </c>
      <c r="M15">
        <f>VLOOKUP(C15,RoofBands,2,TRUE)</f>
        <v/>
      </c>
      <c r="N15">
        <f>VLOOKUP(Policies!G15,AOIBands,2,TRUE)</f>
        <v/>
      </c>
      <c r="O15">
        <f>VLOOKUP(Policies!H15,RateTables!$A$31:$B$35,2,TRUE)</f>
        <v/>
      </c>
      <c r="P15">
        <f>VLOOKUP(MIN(Policies!L15,3),ClaimsTable,2,FALSE)</f>
        <v/>
      </c>
      <c r="Q15">
        <f>ROUND(H15*I15*K15*L15*M15*N15*O15*P15,2)</f>
        <v/>
      </c>
      <c r="R15">
        <f>IF(Policies!J15="Y",1,0)</f>
        <v/>
      </c>
      <c r="S15">
        <f>IF(AND(Policies!L15=0,B15&gt;=3),1,0)</f>
        <v/>
      </c>
      <c r="T15">
        <f>IF(B15&lt;=5,1,0)</f>
        <v/>
      </c>
      <c r="U15">
        <f>IF(Policies!K15="Basic",1,0)</f>
        <v/>
      </c>
      <c r="V15">
        <f>IF(Policies!K15="Fortified",1,0)</f>
        <v/>
      </c>
      <c r="W15">
        <f>SUMPRODUCT(R15:V15,CreditPcts)</f>
        <v/>
      </c>
      <c r="X15">
        <f>MIN(W15,CreditCap)</f>
        <v/>
      </c>
      <c r="Y15">
        <f>ROUND(Q15*(1-X15),2)</f>
        <v/>
      </c>
      <c r="Z15">
        <f>IF(Policies!I15="",0.02,Policies!I15)</f>
        <v/>
      </c>
      <c r="AA15">
        <f>IFERROR(VLOOKUP(Z15,HurrDedTable,2,FALSE),1)</f>
        <v/>
      </c>
      <c r="AB15">
        <f>IFERROR(INDEX(RateTables!$L$31:$L$33,MATCH(Policies!K15,RateTables!$K$31:$K$33,0)),1)</f>
        <v/>
      </c>
      <c r="AC15">
        <f>ROUND(F15*D15*J15*AA15*AB15,2)</f>
        <v/>
      </c>
      <c r="AD15">
        <f>MIN(AC15,Policies!G15*HurrCapPct)</f>
        <v/>
      </c>
      <c r="AE15">
        <f>Y15+AD15</f>
        <v/>
      </c>
      <c r="AF15" s="1">
        <f>EDATE(Policies!M15,Policies!N15)</f>
        <v/>
      </c>
      <c r="AG15">
        <f>ROUND(YEARFRAC(Policies!M15,AF15,3),4)</f>
        <v/>
      </c>
      <c r="AH15">
        <f>ROUND(AE15*AG15,2)</f>
        <v/>
      </c>
      <c r="AI15">
        <f>MAX(AH15,MinPremium)</f>
        <v/>
      </c>
      <c r="AJ15">
        <f>ROUNDUP(AI15,0)</f>
        <v/>
      </c>
      <c r="AK15">
        <f>VLOOKUP(Policies!N15,FeeTable,2,FALSE)</f>
        <v/>
      </c>
      <c r="AL15">
        <f>ROUND(AJ15*AssessRate,2)</f>
        <v/>
      </c>
      <c r="AM15">
        <f>ROUND((AJ15+AK15)*G15,2)</f>
        <v/>
      </c>
      <c r="AN15">
        <f>AJ15+AK15+AL15+AM15</f>
        <v/>
      </c>
      <c r="AO15">
        <f>IF(OR(Policies!G15&gt;1000000,C15&gt;20,Policies!L15&gt;=3),"REFER","OK")</f>
        <v/>
      </c>
      <c r="AP15">
        <f>ROUND(AH15/D15,3)</f>
        <v/>
      </c>
      <c r="AQ15">
        <f>Policies!B15&amp;"-"&amp;LEFT(Policies!C15,1)&amp;TEXT(Policies!D15,"00")</f>
        <v/>
      </c>
    </row>
    <row r="16">
      <c r="A16">
        <f>Policies!A16</f>
        <v/>
      </c>
      <c r="B16">
        <f>IFERROR(DATEDIF(DATE(Policies!E16,1,1),Policies!M16,"y"),0)</f>
        <v/>
      </c>
      <c r="C16">
        <f>Policies!F16*1</f>
        <v/>
      </c>
      <c r="D16">
        <f>Policies!G16/1000</f>
        <v/>
      </c>
      <c r="E16">
        <f>VLOOKUP(Policies!B16,BaseRates,2,FALSE)</f>
        <v/>
      </c>
      <c r="F16">
        <f>VLOOKUP(Policies!B16,BaseRates,3,FALSE)</f>
        <v/>
      </c>
      <c r="G16">
        <f>VLOOKUP(Policies!B16,BaseRates,4,FALSE)</f>
        <v/>
      </c>
      <c r="H16">
        <f>ROUND(E16*D16,2)</f>
        <v/>
      </c>
      <c r="I16">
        <f>INDEX(RateTables!$B$13:$B$16,MATCH(Policies!C16,RateTables!$A$13:$A$16,0))</f>
        <v/>
      </c>
      <c r="J16">
        <f>INDEX(RateTables!$C$13:$C$16,MATCH(Policies!C16,RateTables!$A$13:$A$16,0))</f>
        <v/>
      </c>
      <c r="K16">
        <f>INDEX(RateTables!$B$19:$C$28,MATCH(Policies!D16,RateTables!$A$19:$A$28,0),IF(Policies!C16="Frame",1,2))</f>
        <v/>
      </c>
      <c r="L16">
        <f>VLOOKUP(B16,AgeBands,2,TRUE)</f>
        <v/>
      </c>
      <c r="M16">
        <f>VLOOKUP(C16,RoofBands,2,TRUE)</f>
        <v/>
      </c>
      <c r="N16">
        <f>VLOOKUP(Policies!G16,AOIBands,2,TRUE)</f>
        <v/>
      </c>
      <c r="O16">
        <f>VLOOKUP(Policies!H16,RateTables!$A$31:$B$35,2,TRUE)</f>
        <v/>
      </c>
      <c r="P16">
        <f>VLOOKUP(MIN(Policies!L16,3),ClaimsTable,2,FALSE)</f>
        <v/>
      </c>
      <c r="Q16">
        <f>ROUND(H16*I16*K16*L16*M16*N16*O16*P16,2)</f>
        <v/>
      </c>
      <c r="R16">
        <f>IF(Policies!J16="Y",1,0)</f>
        <v/>
      </c>
      <c r="S16">
        <f>IF(AND(Policies!L16=0,B16&gt;=3),1,0)</f>
        <v/>
      </c>
      <c r="T16">
        <f>IF(B16&lt;=5,1,0)</f>
        <v/>
      </c>
      <c r="U16">
        <f>IF(Policies!K16="Basic",1,0)</f>
        <v/>
      </c>
      <c r="V16">
        <f>IF(Policies!K16="Fortified",1,0)</f>
        <v/>
      </c>
      <c r="W16">
        <f>SUMPRODUCT(R16:V16,CreditPcts)</f>
        <v/>
      </c>
      <c r="X16">
        <f>MIN(W16,CreditCap)</f>
        <v/>
      </c>
      <c r="Y16">
        <f>ROUND(Q16*(1-X16),2)</f>
        <v/>
      </c>
      <c r="Z16">
        <f>IF(Policies!I16="",0.02,Policies!I16)</f>
        <v/>
      </c>
      <c r="AA16">
        <f>IFERROR(VLOOKUP(Z16,HurrDedTable,2,FALSE),1)</f>
        <v/>
      </c>
      <c r="AB16">
        <f>IFERROR(INDEX(RateTables!$L$31:$L$33,MATCH(Policies!K16,RateTables!$K$31:$K$33,0)),1)</f>
        <v/>
      </c>
      <c r="AC16">
        <f>ROUND(F16*D16*J16*AA16*AB16,2)</f>
        <v/>
      </c>
      <c r="AD16">
        <f>MIN(AC16,Policies!G16*HurrCapPct)</f>
        <v/>
      </c>
      <c r="AE16">
        <f>Y16+AD16</f>
        <v/>
      </c>
      <c r="AF16" s="1">
        <f>EDATE(Policies!M16,Policies!N16)</f>
        <v/>
      </c>
      <c r="AG16">
        <f>ROUND(YEARFRAC(Policies!M16,AF16,3),4)</f>
        <v/>
      </c>
      <c r="AH16">
        <f>ROUND(AE16*AG16,2)</f>
        <v/>
      </c>
      <c r="AI16">
        <f>MAX(AH16,MinPremium)</f>
        <v/>
      </c>
      <c r="AJ16">
        <f>ROUNDUP(AI16,0)</f>
        <v/>
      </c>
      <c r="AK16">
        <f>VLOOKUP(Policies!N16,FeeTable,2,FALSE)</f>
        <v/>
      </c>
      <c r="AL16">
        <f>ROUND(AJ16*AssessRate,2)</f>
        <v/>
      </c>
      <c r="AM16">
        <f>ROUND((AJ16+AK16)*G16,2)</f>
        <v/>
      </c>
      <c r="AN16">
        <f>AJ16+AK16+AL16+AM16</f>
        <v/>
      </c>
      <c r="AO16">
        <f>IF(OR(Policies!G16&gt;1000000,C16&gt;20,Policies!L16&gt;=3),"REFER","OK")</f>
        <v/>
      </c>
      <c r="AP16">
        <f>ROUND(AH16/D16,3)</f>
        <v/>
      </c>
      <c r="AQ16">
        <f>Policies!B16&amp;"-"&amp;LEFT(Policies!C16,1)&amp;TEXT(Policies!D16,"00")</f>
        <v/>
      </c>
    </row>
    <row r="17">
      <c r="A17">
        <f>Policies!A17</f>
        <v/>
      </c>
      <c r="B17">
        <f>IFERROR(DATEDIF(DATE(Policies!E17,1,1),Policies!M17,"y"),0)</f>
        <v/>
      </c>
      <c r="C17">
        <f>Policies!F17*1</f>
        <v/>
      </c>
      <c r="D17">
        <f>Policies!G17/1000</f>
        <v/>
      </c>
      <c r="E17">
        <f>VLOOKUP(Policies!B17,BaseRates,2,FALSE)</f>
        <v/>
      </c>
      <c r="F17">
        <f>VLOOKUP(Policies!B17,BaseRates,3,FALSE)</f>
        <v/>
      </c>
      <c r="G17">
        <f>VLOOKUP(Policies!B17,BaseRates,4,FALSE)</f>
        <v/>
      </c>
      <c r="H17">
        <f>ROUND(E17*D17,2)</f>
        <v/>
      </c>
      <c r="I17">
        <f>INDEX(RateTables!$B$13:$B$16,MATCH(Policies!C17,RateTables!$A$13:$A$16,0))</f>
        <v/>
      </c>
      <c r="J17">
        <f>INDEX(RateTables!$C$13:$C$16,MATCH(Policies!C17,RateTables!$A$13:$A$16,0))</f>
        <v/>
      </c>
      <c r="K17">
        <f>INDEX(RateTables!$B$19:$C$28,MATCH(Policies!D17,RateTables!$A$19:$A$28,0),IF(Policies!C17="Frame",1,2))</f>
        <v/>
      </c>
      <c r="L17">
        <f>VLOOKUP(B17,AgeBands,2,TRUE)</f>
        <v/>
      </c>
      <c r="M17">
        <f>VLOOKUP(C17,RoofBands,2,TRUE)</f>
        <v/>
      </c>
      <c r="N17">
        <f>VLOOKUP(Policies!G17,AOIBands,2,TRUE)</f>
        <v/>
      </c>
      <c r="O17">
        <f>VLOOKUP(Policies!H17,RateTables!$A$31:$B$35,2,TRUE)</f>
        <v/>
      </c>
      <c r="P17">
        <f>VLOOKUP(MIN(Policies!L17,3),ClaimsTable,2,FALSE)</f>
        <v/>
      </c>
      <c r="Q17">
        <f>ROUND(H17*I17*K17*L17*M17*N17*O17*P17,2)</f>
        <v/>
      </c>
      <c r="R17">
        <f>IF(Policies!J17="Y",1,0)</f>
        <v/>
      </c>
      <c r="S17">
        <f>IF(AND(Policies!L17=0,B17&gt;=3),1,0)</f>
        <v/>
      </c>
      <c r="T17">
        <f>IF(B17&lt;=5,1,0)</f>
        <v/>
      </c>
      <c r="U17">
        <f>IF(Policies!K17="Basic",1,0)</f>
        <v/>
      </c>
      <c r="V17">
        <f>IF(Policies!K17="Fortified",1,0)</f>
        <v/>
      </c>
      <c r="W17">
        <f>SUMPRODUCT(R17:V17,CreditPcts)</f>
        <v/>
      </c>
      <c r="X17">
        <f>MIN(W17,CreditCap)</f>
        <v/>
      </c>
      <c r="Y17">
        <f>ROUND(Q17*(1-X17),2)</f>
        <v/>
      </c>
      <c r="Z17">
        <f>IF(Policies!I17="",0.02,Policies!I17)</f>
        <v/>
      </c>
      <c r="AA17">
        <f>IFERROR(VLOOKUP(Z17,HurrDedTable,2,FALSE),1)</f>
        <v/>
      </c>
      <c r="AB17">
        <f>IFERROR(INDEX(RateTables!$L$31:$L$33,MATCH(Policies!K17,RateTables!$K$31:$K$33,0)),1)</f>
        <v/>
      </c>
      <c r="AC17">
        <f>ROUND(F17*D17*J17*AA17*AB17,2)</f>
        <v/>
      </c>
      <c r="AD17">
        <f>MIN(AC17,Policies!G17*HurrCapPct)</f>
        <v/>
      </c>
      <c r="AE17">
        <f>Y17+AD17</f>
        <v/>
      </c>
      <c r="AF17" s="1">
        <f>EDATE(Policies!M17,Policies!N17)</f>
        <v/>
      </c>
      <c r="AG17">
        <f>ROUND(YEARFRAC(Policies!M17,AF17,3),4)</f>
        <v/>
      </c>
      <c r="AH17">
        <f>ROUND(AE17*AG17,2)</f>
        <v/>
      </c>
      <c r="AI17">
        <f>MAX(AH17,MinPremium)</f>
        <v/>
      </c>
      <c r="AJ17">
        <f>ROUNDUP(AI17,0)</f>
        <v/>
      </c>
      <c r="AK17">
        <f>VLOOKUP(Policies!N17,FeeTable,2,FALSE)</f>
        <v/>
      </c>
      <c r="AL17">
        <f>ROUND(AJ17*AssessRate,2)</f>
        <v/>
      </c>
      <c r="AM17" t="n">
        <v>48.17</v>
      </c>
      <c r="AN17">
        <f>AJ17+AK17+AL17+AM17</f>
        <v/>
      </c>
      <c r="AO17">
        <f>IF(OR(Policies!G17&gt;1000000,C17&gt;20,Policies!L17&gt;=3),"REFER","OK")</f>
        <v/>
      </c>
      <c r="AP17">
        <f>ROUND(AH17/D17,3)</f>
        <v/>
      </c>
      <c r="AQ17">
        <f>Policies!B17&amp;"-"&amp;LEFT(Policies!C17,1)&amp;TEXT(Policies!D17,"00")</f>
        <v/>
      </c>
    </row>
    <row r="18">
      <c r="A18">
        <f>Policies!A18</f>
        <v/>
      </c>
      <c r="B18">
        <f>IFERROR(DATEDIF(DATE(Policies!E18,1,1),Policies!M18,"y"),0)</f>
        <v/>
      </c>
      <c r="C18">
        <f>Policies!F18*1</f>
        <v/>
      </c>
      <c r="D18">
        <f>Policies!G18/1000</f>
        <v/>
      </c>
      <c r="E18">
        <f>VLOOKUP(Policies!B18,BaseRates,2,FALSE)</f>
        <v/>
      </c>
      <c r="F18">
        <f>VLOOKUP(Policies!B18,BaseRates,3,FALSE)</f>
        <v/>
      </c>
      <c r="G18">
        <f>VLOOKUP(Policies!B18,BaseRates,4,FALSE)</f>
        <v/>
      </c>
      <c r="H18">
        <f>ROUND(E18*D18,2)</f>
        <v/>
      </c>
      <c r="I18">
        <f>INDEX(RateTables!$B$13:$B$16,MATCH(Policies!C18,RateTables!$A$13:$A$16,0))</f>
        <v/>
      </c>
      <c r="J18">
        <f>INDEX(RateTables!$C$13:$C$16,MATCH(Policies!C18,RateTables!$A$13:$A$16,0))</f>
        <v/>
      </c>
      <c r="K18">
        <f>INDEX(RateTables!$B$19:$C$28,MATCH(Policies!D18,RateTables!$A$19:$A$28,0),IF(Policies!C18="Frame",1,2))</f>
        <v/>
      </c>
      <c r="L18">
        <f>VLOOKUP(B18,AgeBands,2,TRUE)</f>
        <v/>
      </c>
      <c r="M18">
        <f>VLOOKUP(C18,RoofBands,2,TRUE)</f>
        <v/>
      </c>
      <c r="N18">
        <f>VLOOKUP(Policies!G18,AOIBands,2,TRUE)</f>
        <v/>
      </c>
      <c r="O18">
        <f>VLOOKUP(Policies!H18,RateTables!$A$31:$B$35,2,TRUE)</f>
        <v/>
      </c>
      <c r="P18">
        <f>VLOOKUP(MIN(Policies!L18,3),ClaimsTable,2,FALSE)</f>
        <v/>
      </c>
      <c r="Q18">
        <f>ROUND(H18*I18*K18*L18*M18*N18*O18*P18,2)</f>
        <v/>
      </c>
      <c r="R18">
        <f>IF(Policies!J18="Y",1,0)</f>
        <v/>
      </c>
      <c r="S18">
        <f>IF(AND(Policies!L18=0,B18&gt;=3),1,0)</f>
        <v/>
      </c>
      <c r="T18">
        <f>IF(B18&lt;=5,1,0)</f>
        <v/>
      </c>
      <c r="U18">
        <f>IF(Policies!K18="Basic",1,0)</f>
        <v/>
      </c>
      <c r="V18">
        <f>IF(Policies!K18="Fortified",1,0)</f>
        <v/>
      </c>
      <c r="W18">
        <f>SUMPRODUCT(R18:V18,CreditPcts)</f>
        <v/>
      </c>
      <c r="X18">
        <f>MIN(W18,CreditCap)</f>
        <v/>
      </c>
      <c r="Y18">
        <f>ROUND(Q18*(1-X18),2)</f>
        <v/>
      </c>
      <c r="Z18">
        <f>IF(Policies!I18="",0.02,Policies!I18)</f>
        <v/>
      </c>
      <c r="AA18">
        <f>IFERROR(VLOOKUP(Z18,HurrDedTable,2,FALSE),1)</f>
        <v/>
      </c>
      <c r="AB18">
        <f>IFERROR(INDEX(RateTables!$L$31:$L$33,MATCH(Policies!K18,RateTables!$K$31:$K$33,0)),1)</f>
        <v/>
      </c>
      <c r="AC18">
        <f>ROUND(F18*D18*J18*AA18*AB18,2)</f>
        <v/>
      </c>
      <c r="AD18">
        <f>MIN(AC18,Policies!G18*HurrCapPct)</f>
        <v/>
      </c>
      <c r="AE18">
        <f>Y18+AD18</f>
        <v/>
      </c>
      <c r="AF18" s="1">
        <f>EDATE(Policies!M18,Policies!N18)</f>
        <v/>
      </c>
      <c r="AG18">
        <f>ROUND(YEARFRAC(Policies!M18,AF18,3),4)</f>
        <v/>
      </c>
      <c r="AH18">
        <f>ROUND(AE18*AG18,2)</f>
        <v/>
      </c>
      <c r="AI18">
        <f>MAX(AH18,MinPremium)</f>
        <v/>
      </c>
      <c r="AJ18">
        <f>ROUNDUP(AI18,0)</f>
        <v/>
      </c>
      <c r="AK18">
        <f>VLOOKUP(Policies!N18,FeeTable,2,FALSE)</f>
        <v/>
      </c>
      <c r="AL18">
        <f>ROUND(AJ18*AssessRate,2)</f>
        <v/>
      </c>
      <c r="AM18">
        <f>ROUND((AJ18+AK18)*G18,2)</f>
        <v/>
      </c>
      <c r="AN18">
        <f>AJ18+AK18+AL18+AM18</f>
        <v/>
      </c>
      <c r="AO18">
        <f>IF(OR(Policies!G18&gt;1000000,C18&gt;20,Policies!L18&gt;=3),"REFER","OK")</f>
        <v/>
      </c>
      <c r="AP18">
        <f>ROUND(AH18/D18,3)</f>
        <v/>
      </c>
      <c r="AQ18">
        <f>Policies!B18&amp;"-"&amp;LEFT(Policies!C18,1)&amp;TEXT(Policies!D18,"00")</f>
        <v/>
      </c>
    </row>
    <row r="19">
      <c r="A19">
        <f>Policies!A19</f>
        <v/>
      </c>
      <c r="B19">
        <f>IFERROR(DATEDIF(DATE(Policies!E19,1,1),Policies!M19,"y"),0)</f>
        <v/>
      </c>
      <c r="C19">
        <f>Policies!F19*1</f>
        <v/>
      </c>
      <c r="D19">
        <f>Policies!G19/1000</f>
        <v/>
      </c>
      <c r="E19">
        <f>VLOOKUP(Policies!B19,BaseRates,2,FALSE)</f>
        <v/>
      </c>
      <c r="F19">
        <f>VLOOKUP(Policies!B19,BaseRates,3,FALSE)</f>
        <v/>
      </c>
      <c r="G19">
        <f>VLOOKUP(Policies!B19,BaseRates,4,FALSE)</f>
        <v/>
      </c>
      <c r="H19">
        <f>ROUND(E19*D19,2)</f>
        <v/>
      </c>
      <c r="I19">
        <f>INDEX(RateTables!$B$13:$B$16,MATCH(Policies!C19,RateTables!$A$13:$A$16,0))</f>
        <v/>
      </c>
      <c r="J19">
        <f>INDEX(RateTables!$C$13:$C$16,MATCH(Policies!C19,RateTables!$A$13:$A$16,0))</f>
        <v/>
      </c>
      <c r="K19">
        <f>INDEX(RateTables!$B$19:$C$28,MATCH(Policies!D19,RateTables!$A$19:$A$28,0),IF(Policies!C19="Frame",1,2))</f>
        <v/>
      </c>
      <c r="L19">
        <f>VLOOKUP(B19,AgeBands,2,TRUE)</f>
        <v/>
      </c>
      <c r="M19">
        <f>VLOOKUP(C19,RoofBands,2,TRUE)</f>
        <v/>
      </c>
      <c r="N19">
        <f>VLOOKUP(Policies!G19,AOIBands,2,TRUE)</f>
        <v/>
      </c>
      <c r="O19">
        <f>VLOOKUP(Policies!H19,RateTables!$A$31:$B$35,2,TRUE)</f>
        <v/>
      </c>
      <c r="P19">
        <f>VLOOKUP(MIN(Policies!L19,3),ClaimsTable,2,FALSE)</f>
        <v/>
      </c>
      <c r="Q19">
        <f>ROUND(H19*I19*K19*L19*M19*N19*O19*P19,2)</f>
        <v/>
      </c>
      <c r="R19">
        <f>IF(Policies!J19="Y",1,0)</f>
        <v/>
      </c>
      <c r="S19">
        <f>IF(AND(Policies!L19=0,B19&gt;=3),1,0)</f>
        <v/>
      </c>
      <c r="T19">
        <f>IF(B19&lt;=5,1,0)</f>
        <v/>
      </c>
      <c r="U19">
        <f>IF(Policies!K19="Basic",1,0)</f>
        <v/>
      </c>
      <c r="V19">
        <f>IF(Policies!K19="Fortified",1,0)</f>
        <v/>
      </c>
      <c r="W19">
        <f>SUMPRODUCT(R19:V19,CreditPcts)</f>
        <v/>
      </c>
      <c r="X19">
        <f>MIN(W19,CreditCap)</f>
        <v/>
      </c>
      <c r="Y19">
        <f>ROUND(Q19*(1-X19),2)</f>
        <v/>
      </c>
      <c r="Z19">
        <f>IF(Policies!I19="",0.02,Policies!I19)</f>
        <v/>
      </c>
      <c r="AA19">
        <f>IFERROR(VLOOKUP(Z19,HurrDedTable,2,FALSE),1)</f>
        <v/>
      </c>
      <c r="AB19">
        <f>IFERROR(INDEX(RateTables!$L$31:$L$33,MATCH(Policies!K19,RateTables!$K$31:$K$33,0)),1)</f>
        <v/>
      </c>
      <c r="AC19">
        <f>ROUND(F19*D19*J19*AA19*AB19,2)</f>
        <v/>
      </c>
      <c r="AD19">
        <f>MIN(AC19,Policies!G19*HurrCapPct)</f>
        <v/>
      </c>
      <c r="AE19">
        <f>Y19+AD19</f>
        <v/>
      </c>
      <c r="AF19" s="1">
        <f>EDATE(Policies!M19,Policies!N19)</f>
        <v/>
      </c>
      <c r="AG19">
        <f>ROUND(YEARFRAC(Policies!M19,AF19,3),4)</f>
        <v/>
      </c>
      <c r="AH19">
        <f>ROUND(AE19*AG19,2)</f>
        <v/>
      </c>
      <c r="AI19">
        <f>MAX(AH19,MinPremium)</f>
        <v/>
      </c>
      <c r="AJ19">
        <f>ROUNDUP(AI19,0)</f>
        <v/>
      </c>
      <c r="AK19">
        <f>VLOOKUP(Policies!N19,FeeTable,2,FALSE)</f>
        <v/>
      </c>
      <c r="AL19">
        <f>ROUND(AJ19*AssessRate,2)</f>
        <v/>
      </c>
      <c r="AM19">
        <f>ROUND((AJ19+AK19)*G19,2)</f>
        <v/>
      </c>
      <c r="AN19">
        <f>AJ19+AK19+AL19+AM19</f>
        <v/>
      </c>
      <c r="AO19">
        <f>IF(OR(Policies!G19&gt;1000000,C19&gt;20,Policies!L19&gt;=3),"REFER","OK")</f>
        <v/>
      </c>
      <c r="AP19">
        <f>ROUND(AH19/D19,3)</f>
        <v/>
      </c>
      <c r="AQ19">
        <f>Policies!B19&amp;"-"&amp;LEFT(Policies!C19,1)&amp;TEXT(Policies!D19,"00")</f>
        <v/>
      </c>
    </row>
    <row r="20">
      <c r="A20">
        <f>Policies!A20</f>
        <v/>
      </c>
      <c r="B20">
        <f>IFERROR(DATEDIF(DATE(Policies!E20,1,1),Policies!M20,"y"),0)</f>
        <v/>
      </c>
      <c r="C20">
        <f>Policies!F20*1</f>
        <v/>
      </c>
      <c r="D20">
        <f>Policies!G20/1000</f>
        <v/>
      </c>
      <c r="E20">
        <f>VLOOKUP(Policies!B20,BaseRates,2,FALSE)</f>
        <v/>
      </c>
      <c r="F20">
        <f>VLOOKUP(Policies!B20,BaseRates,3,FALSE)</f>
        <v/>
      </c>
      <c r="G20">
        <f>VLOOKUP(Policies!B20,BaseRates,4,FALSE)</f>
        <v/>
      </c>
      <c r="H20">
        <f>ROUND(E20*D20,2)</f>
        <v/>
      </c>
      <c r="I20">
        <f>INDEX(RateTables!$B$13:$B$16,MATCH(Policies!C20,RateTables!$A$13:$A$16,0))</f>
        <v/>
      </c>
      <c r="J20">
        <f>INDEX(RateTables!$C$13:$C$16,MATCH(Policies!C20,RateTables!$A$13:$A$16,0))</f>
        <v/>
      </c>
      <c r="K20">
        <f>INDEX(RateTables!$B$19:$C$28,MATCH(Policies!D20,RateTables!$A$19:$A$28,0),IF(Policies!C20="Frame",1,2))</f>
        <v/>
      </c>
      <c r="L20">
        <f>VLOOKUP(B20,AgeBands,2,TRUE)</f>
        <v/>
      </c>
      <c r="M20">
        <f>VLOOKUP(C20,RoofBands,2,TRUE)</f>
        <v/>
      </c>
      <c r="N20">
        <f>VLOOKUP(Policies!G20,AOIBands,2,TRUE)</f>
        <v/>
      </c>
      <c r="O20">
        <f>VLOOKUP(Policies!H20,RateTables!$A$31:$B$35,2,TRUE)</f>
        <v/>
      </c>
      <c r="P20">
        <f>VLOOKUP(MIN(Policies!L20,3),ClaimsTable,2,FALSE)</f>
        <v/>
      </c>
      <c r="Q20">
        <f>ROUND(H20*I20*K20*L20*M20*N20*O20*P20,2)</f>
        <v/>
      </c>
      <c r="R20">
        <f>IF(Policies!J20="Y",1,0)</f>
        <v/>
      </c>
      <c r="S20">
        <f>IF(AND(Policies!L20=0,B20&gt;=3),1,0)</f>
        <v/>
      </c>
      <c r="T20">
        <f>IF(B20&lt;=5,1,0)</f>
        <v/>
      </c>
      <c r="U20">
        <f>IF(Policies!K20="Basic",1,0)</f>
        <v/>
      </c>
      <c r="V20">
        <f>IF(Policies!K20="Fortified",1,0)</f>
        <v/>
      </c>
      <c r="W20">
        <f>SUMPRODUCT(R20:V20,CreditPcts)</f>
        <v/>
      </c>
      <c r="X20">
        <f>MIN(W20,CreditCap)</f>
        <v/>
      </c>
      <c r="Y20">
        <f>ROUND(Q20*(1-X20),2)</f>
        <v/>
      </c>
      <c r="Z20">
        <f>IF(Policies!I20="",0.02,Policies!I20)</f>
        <v/>
      </c>
      <c r="AA20">
        <f>IFERROR(VLOOKUP(Z20,HurrDedTable,2,FALSE),1)</f>
        <v/>
      </c>
      <c r="AB20">
        <f>IFERROR(INDEX(RateTables!$L$31:$L$33,MATCH(Policies!K20,RateTables!$K$31:$K$33,0)),1)</f>
        <v/>
      </c>
      <c r="AC20">
        <f>ROUND(F20*D20*J20*AA20*AB20,2)</f>
        <v/>
      </c>
      <c r="AD20">
        <f>MIN(AC20,Policies!G20*HurrCapPct)</f>
        <v/>
      </c>
      <c r="AE20">
        <f>Y20+AD20</f>
        <v/>
      </c>
      <c r="AF20" s="1">
        <f>EDATE(Policies!M20,Policies!N20)</f>
        <v/>
      </c>
      <c r="AG20">
        <f>ROUND(YEARFRAC(Policies!M20,AF20,3),4)</f>
        <v/>
      </c>
      <c r="AH20">
        <f>ROUND(AE20*AG20,2)</f>
        <v/>
      </c>
      <c r="AI20">
        <f>MAX(AH20,MinPremium)</f>
        <v/>
      </c>
      <c r="AJ20">
        <f>ROUNDUP(AI20,0)</f>
        <v/>
      </c>
      <c r="AK20">
        <f>VLOOKUP(Policies!N20,FeeTable,2,FALSE)</f>
        <v/>
      </c>
      <c r="AL20">
        <f>ROUND(AJ20*AssessRate,2)</f>
        <v/>
      </c>
      <c r="AM20">
        <f>ROUND((AJ20+AK20)*G20,2)</f>
        <v/>
      </c>
      <c r="AN20">
        <f>AJ20+AK20+AL20+AM20</f>
        <v/>
      </c>
      <c r="AO20">
        <f>IF(OR(Policies!G20&gt;1000000,C20&gt;20,Policies!L20&gt;=3),"REFER","OK")</f>
        <v/>
      </c>
      <c r="AP20">
        <f>ROUND(AH20/D20,3)</f>
        <v/>
      </c>
      <c r="AQ20">
        <f>Policies!B20&amp;"-"&amp;LEFT(Policies!C20,1)&amp;TEXT(Policies!D20,"00")</f>
        <v/>
      </c>
    </row>
    <row r="21">
      <c r="A21">
        <f>Policies!A21</f>
        <v/>
      </c>
      <c r="B21">
        <f>IFERROR(DATEDIF(DATE(Policies!E21,1,1),Policies!M21,"y"),0)</f>
        <v/>
      </c>
      <c r="C21">
        <f>Policies!F21*1</f>
        <v/>
      </c>
      <c r="D21">
        <f>Policies!G21/1000</f>
        <v/>
      </c>
      <c r="E21">
        <f>VLOOKUP(Policies!B21,BaseRates,2,FALSE)</f>
        <v/>
      </c>
      <c r="F21">
        <f>VLOOKUP(Policies!B21,BaseRates,3,FALSE)</f>
        <v/>
      </c>
      <c r="G21">
        <f>VLOOKUP(Policies!B21,BaseRates,4,FALSE)</f>
        <v/>
      </c>
      <c r="H21">
        <f>ROUND(E21*D21,2)</f>
        <v/>
      </c>
      <c r="I21">
        <f>INDEX(RateTables!$B$13:$B$16,MATCH(Policies!C21,RateTables!$A$13:$A$16,0))</f>
        <v/>
      </c>
      <c r="J21">
        <f>INDEX(RateTables!$C$13:$C$16,MATCH(Policies!C21,RateTables!$A$13:$A$16,0))</f>
        <v/>
      </c>
      <c r="K21">
        <f>INDEX(RateTables!$B$19:$C$28,MATCH(Policies!D21,RateTables!$A$19:$A$28,0),IF(Policies!C21="Frame",1,2))</f>
        <v/>
      </c>
      <c r="L21">
        <f>VLOOKUP(B21,AgeBands,2,TRUE)</f>
        <v/>
      </c>
      <c r="M21">
        <f>VLOOKUP(C21,RoofBands,2,TRUE)</f>
        <v/>
      </c>
      <c r="N21">
        <f>VLOOKUP(Policies!G21,AOIBands,2,TRUE)</f>
        <v/>
      </c>
      <c r="O21">
        <f>VLOOKUP(Policies!H21,RateTables!$A$31:$B$35,2,TRUE)</f>
        <v/>
      </c>
      <c r="P21">
        <f>VLOOKUP(MIN(Policies!L21,3),ClaimsTable,2,FALSE)</f>
        <v/>
      </c>
      <c r="Q21">
        <f>ROUND(H21*I21*K21*L21*M21*N21*O21*P21,2)</f>
        <v/>
      </c>
      <c r="R21">
        <f>IF(Policies!J21="Y",1,0)</f>
        <v/>
      </c>
      <c r="S21">
        <f>IF(AND(Policies!L21=0,B21&gt;=3),1,0)</f>
        <v/>
      </c>
      <c r="T21">
        <f>IF(B21&lt;=5,1,0)</f>
        <v/>
      </c>
      <c r="U21">
        <f>IF(Policies!K21="Basic",1,0)</f>
        <v/>
      </c>
      <c r="V21">
        <f>IF(Policies!K21="Fortified",1,0)</f>
        <v/>
      </c>
      <c r="W21">
        <f>SUMPRODUCT(R21:V21,CreditPcts)</f>
        <v/>
      </c>
      <c r="X21">
        <f>MIN(W21,CreditCap)</f>
        <v/>
      </c>
      <c r="Y21">
        <f>ROUND(Q21*(1-X21),2)</f>
        <v/>
      </c>
      <c r="Z21">
        <f>IF(Policies!I21="",0.02,Policies!I21)</f>
        <v/>
      </c>
      <c r="AA21">
        <f>IFERROR(VLOOKUP(Z21,HurrDedTable,2,FALSE),1)</f>
        <v/>
      </c>
      <c r="AB21">
        <f>IFERROR(INDEX(RateTables!$L$31:$L$33,MATCH(Policies!K21,RateTables!$K$31:$K$33,0)),1)</f>
        <v/>
      </c>
      <c r="AC21">
        <f>ROUND(F21*D21*J21*AA21*AB21,2)</f>
        <v/>
      </c>
      <c r="AD21">
        <f>MIN(AC21,Policies!G21*HurrCapPct)</f>
        <v/>
      </c>
      <c r="AE21">
        <f>Y21+AD21</f>
        <v/>
      </c>
      <c r="AF21" s="1">
        <f>EDATE(Policies!M21,Policies!N21)</f>
        <v/>
      </c>
      <c r="AG21">
        <f>ROUND(YEARFRAC(Policies!M21,AF21,3),4)</f>
        <v/>
      </c>
      <c r="AH21">
        <f>ROUND(AE21*AG21,2)</f>
        <v/>
      </c>
      <c r="AI21">
        <f>MAX(AH21,MinPremium)</f>
        <v/>
      </c>
      <c r="AJ21">
        <f>ROUNDUP(AI21,0)</f>
        <v/>
      </c>
      <c r="AK21">
        <f>VLOOKUP(Policies!N21,FeeTable,2,FALSE)</f>
        <v/>
      </c>
      <c r="AL21">
        <f>ROUND(AJ21*AssessRate,2)</f>
        <v/>
      </c>
      <c r="AM21">
        <f>ROUND((AJ21+AK21)*G21,2)</f>
        <v/>
      </c>
      <c r="AN21">
        <f>AJ21+AK21+AL21+AM21</f>
        <v/>
      </c>
      <c r="AO21">
        <f>IF(OR(Policies!G21&gt;1000000,C21&gt;20,Policies!L21&gt;=3),"REFER","OK")</f>
        <v/>
      </c>
      <c r="AP21">
        <f>ROUND(AH21/D21,3)</f>
        <v/>
      </c>
      <c r="AQ21">
        <f>Policies!B21&amp;"-"&amp;LEFT(Policies!C21,1)&amp;TEXT(Policies!D21,"00")</f>
        <v/>
      </c>
    </row>
    <row r="22">
      <c r="A22">
        <f>Policies!A22</f>
        <v/>
      </c>
      <c r="B22">
        <f>IFERROR(DATEDIF(DATE(Policies!E22,1,1),Policies!M22,"y"),0)</f>
        <v/>
      </c>
      <c r="C22">
        <f>Policies!F22*1</f>
        <v/>
      </c>
      <c r="D22">
        <f>Policies!G22/1000</f>
        <v/>
      </c>
      <c r="E22">
        <f>VLOOKUP(Policies!B22,BaseRates,2,FALSE)</f>
        <v/>
      </c>
      <c r="F22">
        <f>VLOOKUP(Policies!B22,BaseRates,3,FALSE)</f>
        <v/>
      </c>
      <c r="G22">
        <f>VLOOKUP(Policies!B22,BaseRates,4,FALSE)</f>
        <v/>
      </c>
      <c r="H22">
        <f>ROUND(E22*D22,2)</f>
        <v/>
      </c>
      <c r="I22">
        <f>INDEX(RateTables!$B$13:$B$16,MATCH(Policies!C22,RateTables!$A$13:$A$16,0))</f>
        <v/>
      </c>
      <c r="J22">
        <f>INDEX(RateTables!$C$13:$C$16,MATCH(Policies!C22,RateTables!$A$13:$A$16,0))</f>
        <v/>
      </c>
      <c r="K22">
        <f>INDEX(RateTables!$B$19:$C$28,MATCH(Policies!D22,RateTables!$A$19:$A$28,0),IF(Policies!C22="Frame",1,2))</f>
        <v/>
      </c>
      <c r="L22">
        <f>VLOOKUP(B22,AgeBands,2,TRUE)</f>
        <v/>
      </c>
      <c r="M22">
        <f>VLOOKUP(C22,RoofBands,2,TRUE)</f>
        <v/>
      </c>
      <c r="N22">
        <f>VLOOKUP(Policies!G22,AOIBands,2,TRUE)</f>
        <v/>
      </c>
      <c r="O22">
        <f>VLOOKUP(Policies!H22,RateTables!$A$31:$B$35,2,TRUE)</f>
        <v/>
      </c>
      <c r="P22">
        <f>VLOOKUP(MIN(Policies!L22,3),ClaimsTable,2,FALSE)</f>
        <v/>
      </c>
      <c r="Q22">
        <f>ROUND(H22*I22*K22*L22*M22*N22*O22*P22,2)</f>
        <v/>
      </c>
      <c r="R22">
        <f>IF(Policies!J22="Y",1,0)</f>
        <v/>
      </c>
      <c r="S22">
        <f>IF(AND(Policies!L22=0,B22&gt;=3),1,0)</f>
        <v/>
      </c>
      <c r="T22">
        <f>IF(B22&lt;=5,1,0)</f>
        <v/>
      </c>
      <c r="U22">
        <f>IF(Policies!K22="Basic",1,0)</f>
        <v/>
      </c>
      <c r="V22">
        <f>IF(Policies!K22="Fortified",1,0)</f>
        <v/>
      </c>
      <c r="W22">
        <f>SUMPRODUCT(R22:V22,CreditPcts)</f>
        <v/>
      </c>
      <c r="X22">
        <f>MIN(W22,CreditCap)</f>
        <v/>
      </c>
      <c r="Y22">
        <f>ROUND(Q22*(1-X22),2)</f>
        <v/>
      </c>
      <c r="Z22">
        <f>IF(Policies!I22="",0.02,Policies!I22)</f>
        <v/>
      </c>
      <c r="AA22">
        <f>IFERROR(VLOOKUP(Z22,HurrDedTable,2,FALSE),1)</f>
        <v/>
      </c>
      <c r="AB22">
        <f>IFERROR(INDEX(RateTables!$L$31:$L$33,MATCH(Policies!K22,RateTables!$K$31:$K$33,0)),1)</f>
        <v/>
      </c>
      <c r="AC22">
        <f>ROUND(F22*D22*J22*AA22*AB22,2)</f>
        <v/>
      </c>
      <c r="AD22">
        <f>MIN(AC22,Policies!G22*HurrCapPct)</f>
        <v/>
      </c>
      <c r="AE22">
        <f>Y22+AD22</f>
        <v/>
      </c>
      <c r="AF22" s="1">
        <f>EDATE(Policies!M22,Policies!N22)</f>
        <v/>
      </c>
      <c r="AG22">
        <f>ROUND(YEARFRAC(Policies!M22,AF22,3),4)</f>
        <v/>
      </c>
      <c r="AH22">
        <f>ROUND(AE22*AG22,2)</f>
        <v/>
      </c>
      <c r="AI22">
        <f>MAX(AH22,MinPremium)</f>
        <v/>
      </c>
      <c r="AJ22">
        <f>ROUNDUP(AI22,0)</f>
        <v/>
      </c>
      <c r="AK22">
        <f>VLOOKUP(Policies!N22,FeeTable,2,FALSE)</f>
        <v/>
      </c>
      <c r="AL22">
        <f>ROUND(AJ22*AssessRate,2)</f>
        <v/>
      </c>
      <c r="AM22">
        <f>ROUND((AJ22+AK22)*G22,2)</f>
        <v/>
      </c>
      <c r="AN22">
        <f>AJ22+AK22+AL22+AM22</f>
        <v/>
      </c>
      <c r="AO22">
        <f>IF(OR(Policies!G22&gt;1000000,C22&gt;20,Policies!L22&gt;=3),"REFER","OK")</f>
        <v/>
      </c>
      <c r="AP22">
        <f>ROUND(AH22/D22,3)</f>
        <v/>
      </c>
      <c r="AQ22">
        <f>Policies!B22&amp;"-"&amp;LEFT(Policies!C22,1)&amp;TEXT(Policies!D22,"00")</f>
        <v/>
      </c>
    </row>
    <row r="23">
      <c r="A23">
        <f>Policies!A23</f>
        <v/>
      </c>
      <c r="B23">
        <f>IFERROR(DATEDIF(DATE(Policies!E23,1,1),Policies!M23,"y"),0)</f>
        <v/>
      </c>
      <c r="C23">
        <f>Policies!F23*1</f>
        <v/>
      </c>
      <c r="D23">
        <f>Policies!G23/1000</f>
        <v/>
      </c>
      <c r="E23">
        <f>VLOOKUP(Policies!B23,BaseRates,2,FALSE)</f>
        <v/>
      </c>
      <c r="F23">
        <f>VLOOKUP(Policies!B23,BaseRates,3,FALSE)</f>
        <v/>
      </c>
      <c r="G23">
        <f>VLOOKUP(Policies!B23,BaseRates,4,FALSE)</f>
        <v/>
      </c>
      <c r="H23">
        <f>ROUND(E23*D23,2)</f>
        <v/>
      </c>
      <c r="I23">
        <f>INDEX(RateTables!$B$13:$B$16,MATCH(Policies!C23,RateTables!$A$13:$A$16,0))</f>
        <v/>
      </c>
      <c r="J23">
        <f>INDEX(RateTables!$C$13:$C$16,MATCH(Policies!C23,RateTables!$A$13:$A$16,0))</f>
        <v/>
      </c>
      <c r="K23">
        <f>INDEX(RateTables!$B$19:$C$28,MATCH(Policies!D23,RateTables!$A$19:$A$28,0),IF(Policies!C23="Frame",1,2))</f>
        <v/>
      </c>
      <c r="L23">
        <f>VLOOKUP(B23,AgeBands,2,TRUE)</f>
        <v/>
      </c>
      <c r="M23">
        <f>VLOOKUP(C23,RoofBands,2,TRUE)</f>
        <v/>
      </c>
      <c r="N23">
        <f>VLOOKUP(Policies!G23,AOIBands,2,TRUE)</f>
        <v/>
      </c>
      <c r="O23">
        <f>VLOOKUP(Policies!H23,RateTables!$A$31:$B$35,2,TRUE)</f>
        <v/>
      </c>
      <c r="P23">
        <f>VLOOKUP(MIN(Policies!L23,3),ClaimsTable,2,FALSE)</f>
        <v/>
      </c>
      <c r="Q23">
        <f>ROUND(H23*I23*K23*L23*M23*N23*O23*P23,2)</f>
        <v/>
      </c>
      <c r="R23">
        <f>IF(Policies!J23="Y",1,0)</f>
        <v/>
      </c>
      <c r="S23">
        <f>IF(AND(Policies!L23=0,B23&gt;=3),1,0)</f>
        <v/>
      </c>
      <c r="T23">
        <f>IF(B23&lt;=5,1,0)</f>
        <v/>
      </c>
      <c r="U23">
        <f>IF(Policies!K23="Basic",1,0)</f>
        <v/>
      </c>
      <c r="V23">
        <f>IF(Policies!K23="Fortified",1,0)</f>
        <v/>
      </c>
      <c r="W23">
        <f>SUMPRODUCT(R23:V23,CreditPcts)</f>
        <v/>
      </c>
      <c r="X23">
        <f>MIN(W23,CreditCap)</f>
        <v/>
      </c>
      <c r="Y23">
        <f>ROUND(Q23*(1-X23),2)</f>
        <v/>
      </c>
      <c r="Z23">
        <f>IF(Policies!I23="",0.02,Policies!I23)</f>
        <v/>
      </c>
      <c r="AA23">
        <f>IFERROR(VLOOKUP(Z23,HurrDedTable,2,FALSE),1)</f>
        <v/>
      </c>
      <c r="AB23">
        <f>IFERROR(INDEX(RateTables!$L$31:$L$33,MATCH(Policies!K23,RateTables!$K$31:$K$33,0)),1)</f>
        <v/>
      </c>
      <c r="AC23">
        <f>ROUND(F23*D23*J23*AA23*AB23,2)</f>
        <v/>
      </c>
      <c r="AD23">
        <f>MIN(AC23,Policies!G23*HurrCapPct)</f>
        <v/>
      </c>
      <c r="AE23">
        <f>Y23+AD23</f>
        <v/>
      </c>
      <c r="AF23" s="1">
        <f>EDATE(Policies!M23,Policies!N23)</f>
        <v/>
      </c>
      <c r="AG23">
        <f>ROUND(YEARFRAC(Policies!M23,AF23,3),4)</f>
        <v/>
      </c>
      <c r="AH23">
        <f>ROUND(AE23*AG23,2)</f>
        <v/>
      </c>
      <c r="AI23">
        <f>MAX(AH23,MinPremium)</f>
        <v/>
      </c>
      <c r="AJ23">
        <f>ROUNDUP(AI23,0)</f>
        <v/>
      </c>
      <c r="AK23">
        <f>VLOOKUP(Policies!N23,FeeTable,2,FALSE)</f>
        <v/>
      </c>
      <c r="AL23">
        <f>ROUND(AJ23*AssessRate,2)</f>
        <v/>
      </c>
      <c r="AM23">
        <f>ROUND((AJ23+AK23)*G23,2)</f>
        <v/>
      </c>
      <c r="AN23">
        <f>AJ23+AK23+AL23+AM23</f>
        <v/>
      </c>
      <c r="AO23">
        <f>IF(OR(Policies!G23&gt;1000000,C23&gt;20,Policies!L23&gt;=3),"REFER","OK")</f>
        <v/>
      </c>
      <c r="AP23">
        <f>ROUND(AH23/D23,3)</f>
        <v/>
      </c>
      <c r="AQ23">
        <f>Policies!B23&amp;"-"&amp;LEFT(Policies!C23,1)&amp;TEXT(Policies!D23,"00")</f>
        <v/>
      </c>
    </row>
    <row r="24">
      <c r="A24">
        <f>Policies!A24</f>
        <v/>
      </c>
      <c r="B24">
        <f>IFERROR(DATEDIF(DATE(Policies!E24,1,1),Policies!M24,"y"),0)</f>
        <v/>
      </c>
      <c r="C24">
        <f>Policies!F24*1</f>
        <v/>
      </c>
      <c r="D24">
        <f>Policies!G24/1000</f>
        <v/>
      </c>
      <c r="E24">
        <f>VLOOKUP(Policies!B24,BaseRates,2,FALSE)</f>
        <v/>
      </c>
      <c r="F24">
        <f>VLOOKUP(Policies!B24,BaseRates,3,FALSE)</f>
        <v/>
      </c>
      <c r="G24">
        <f>VLOOKUP(Policies!B24,BaseRates,4,FALSE)</f>
        <v/>
      </c>
      <c r="H24">
        <f>ROUND(E24*D24,2)</f>
        <v/>
      </c>
      <c r="I24">
        <f>INDEX(RateTables!$B$13:$B$16,MATCH(Policies!C24,RateTables!$A$13:$A$16,0))</f>
        <v/>
      </c>
      <c r="J24">
        <f>INDEX(RateTables!$C$13:$C$16,MATCH(Policies!C24,RateTables!$A$13:$A$16,0))</f>
        <v/>
      </c>
      <c r="K24">
        <f>INDEX(RateTables!$B$19:$C$28,MATCH(Policies!D24,RateTables!$A$19:$A$28,0),IF(Policies!C24="Frame",1,2))</f>
        <v/>
      </c>
      <c r="L24">
        <f>VLOOKUP(B24,AgeBands,2,TRUE)</f>
        <v/>
      </c>
      <c r="M24">
        <f>VLOOKUP(C24,RoofBands,2,TRUE)</f>
        <v/>
      </c>
      <c r="N24">
        <f>VLOOKUP(Policies!G24,AOIBands,2,TRUE)</f>
        <v/>
      </c>
      <c r="O24">
        <f>VLOOKUP(Policies!H24,RateTables!$A$31:$B$35,2,TRUE)</f>
        <v/>
      </c>
      <c r="P24">
        <f>VLOOKUP(MIN(Policies!L24,3),ClaimsTable,2,FALSE)</f>
        <v/>
      </c>
      <c r="Q24">
        <f>ROUND(H24*I24*K24*L24*M24*N24*O24*P24,2)</f>
        <v/>
      </c>
      <c r="R24">
        <f>IF(Policies!J24="Y",1,0)</f>
        <v/>
      </c>
      <c r="S24">
        <f>IF(AND(Policies!L24=0,B24&gt;=3),1,0)</f>
        <v/>
      </c>
      <c r="T24">
        <f>IF(B24&lt;=5,1,0)</f>
        <v/>
      </c>
      <c r="U24">
        <f>IF(Policies!K24="Basic",1,0)</f>
        <v/>
      </c>
      <c r="V24">
        <f>IF(Policies!K24="Fortified",1,0)</f>
        <v/>
      </c>
      <c r="W24">
        <f>SUMPRODUCT(R24:V24,CreditPcts)</f>
        <v/>
      </c>
      <c r="X24">
        <f>MIN(W24,CreditCap)</f>
        <v/>
      </c>
      <c r="Y24">
        <f>ROUND(Q24*(1-X24),2)</f>
        <v/>
      </c>
      <c r="Z24">
        <f>IF(Policies!I24="",0.02,Policies!I24)</f>
        <v/>
      </c>
      <c r="AA24">
        <f>IFERROR(VLOOKUP(Z24,HurrDedTable,2,FALSE),1)</f>
        <v/>
      </c>
      <c r="AB24">
        <f>IFERROR(INDEX(RateTables!$L$31:$L$33,MATCH(Policies!K24,RateTables!$K$31:$K$33,0)),1)</f>
        <v/>
      </c>
      <c r="AC24">
        <f>ROUND(F24*D24*J24*AA24*AB24,2)</f>
        <v/>
      </c>
      <c r="AD24">
        <f>MIN(AC24,Policies!G24*HurrCapPct)</f>
        <v/>
      </c>
      <c r="AE24">
        <f>Y24+AD24</f>
        <v/>
      </c>
      <c r="AF24" s="1">
        <f>EDATE(Policies!M24,Policies!N24)</f>
        <v/>
      </c>
      <c r="AG24">
        <f>ROUND(YEARFRAC(Policies!M24,AF24,3),4)</f>
        <v/>
      </c>
      <c r="AH24">
        <f>ROUND(AE24*AG24,2)</f>
        <v/>
      </c>
      <c r="AI24">
        <f>MAX(AH24,MinPremium)</f>
        <v/>
      </c>
      <c r="AJ24">
        <f>ROUNDUP(AI24,0)</f>
        <v/>
      </c>
      <c r="AK24">
        <f>VLOOKUP(Policies!N24,FeeTable,2,FALSE)</f>
        <v/>
      </c>
      <c r="AL24">
        <f>ROUND(AJ24*AssessRate,2)</f>
        <v/>
      </c>
      <c r="AM24">
        <f>ROUND((AJ24+AK24)*G24,2)</f>
        <v/>
      </c>
      <c r="AN24">
        <f>AJ24+AK24+AL24+AM24</f>
        <v/>
      </c>
      <c r="AO24">
        <f>IF(OR(Policies!G24&gt;1000000,C24&gt;20,Policies!L24&gt;=3),"REFER","OK")</f>
        <v/>
      </c>
      <c r="AP24">
        <f>ROUND(AH24/D24,3)</f>
        <v/>
      </c>
      <c r="AQ24">
        <f>Policies!B24&amp;"-"&amp;LEFT(Policies!C24,1)&amp;TEXT(Policies!D24,"00")</f>
        <v/>
      </c>
    </row>
    <row r="25">
      <c r="A25">
        <f>Policies!A25</f>
        <v/>
      </c>
      <c r="B25">
        <f>IFERROR(DATEDIF(DATE(Policies!E25,1,1),Policies!M25,"y"),0)</f>
        <v/>
      </c>
      <c r="C25">
        <f>Policies!F25*1</f>
        <v/>
      </c>
      <c r="D25">
        <f>Policies!G25/1000</f>
        <v/>
      </c>
      <c r="E25">
        <f>VLOOKUP(Policies!B25,BaseRates,2,FALSE)</f>
        <v/>
      </c>
      <c r="F25">
        <f>VLOOKUP(Policies!B25,BaseRates,3,FALSE)</f>
        <v/>
      </c>
      <c r="G25">
        <f>VLOOKUP(Policies!B25,BaseRates,4,FALSE)</f>
        <v/>
      </c>
      <c r="H25">
        <f>ROUND(E25*D25,2)</f>
        <v/>
      </c>
      <c r="I25">
        <f>INDEX(RateTables!$B$13:$B$16,MATCH(Policies!C25,RateTables!$A$13:$A$16,0))</f>
        <v/>
      </c>
      <c r="J25">
        <f>INDEX(RateTables!$C$13:$C$16,MATCH(Policies!C25,RateTables!$A$13:$A$16,0))</f>
        <v/>
      </c>
      <c r="K25">
        <f>INDEX(RateTables!$B$19:$C$28,MATCH(Policies!D25,RateTables!$A$19:$A$28,0),IF(Policies!C25="Frame",1,2))</f>
        <v/>
      </c>
      <c r="L25">
        <f>VLOOKUP(B25,AgeBands,2,TRUE)</f>
        <v/>
      </c>
      <c r="M25">
        <f>VLOOKUP(C25,RoofBands,2,TRUE)</f>
        <v/>
      </c>
      <c r="N25">
        <f>VLOOKUP(Policies!G25,AOIBands,2,TRUE)</f>
        <v/>
      </c>
      <c r="O25">
        <f>VLOOKUP(Policies!H25,RateTables!$A$31:$B$35,2,TRUE)</f>
        <v/>
      </c>
      <c r="P25">
        <f>VLOOKUP(MIN(Policies!L25,3),ClaimsTable,2,FALSE)</f>
        <v/>
      </c>
      <c r="Q25">
        <f>ROUND(H25*I25*K25*L25*M25*N25*O25*P25,2)</f>
        <v/>
      </c>
      <c r="R25">
        <f>IF(Policies!J25="Y",1,0)</f>
        <v/>
      </c>
      <c r="S25">
        <f>IF(AND(Policies!L25=0,B25&gt;=3),1,0)</f>
        <v/>
      </c>
      <c r="T25">
        <f>IF(B25&lt;=5,1,0)</f>
        <v/>
      </c>
      <c r="U25">
        <f>IF(Policies!K25="Basic",1,0)</f>
        <v/>
      </c>
      <c r="V25">
        <f>IF(Policies!K25="Fortified",1,0)</f>
        <v/>
      </c>
      <c r="W25">
        <f>SUMPRODUCT(R25:V25,CreditPcts)</f>
        <v/>
      </c>
      <c r="X25">
        <f>MIN(W25,CreditCap)</f>
        <v/>
      </c>
      <c r="Y25">
        <f>ROUND(Q25*(1-X25),2)</f>
        <v/>
      </c>
      <c r="Z25">
        <f>IF(Policies!I25="",0.02,Policies!I25)</f>
        <v/>
      </c>
      <c r="AA25">
        <f>IFERROR(VLOOKUP(Z25,HurrDedTable,2,FALSE),1)</f>
        <v/>
      </c>
      <c r="AB25">
        <f>IFERROR(INDEX(RateTables!$L$31:$L$33,MATCH(Policies!K25,RateTables!$K$31:$K$33,0)),1)</f>
        <v/>
      </c>
      <c r="AC25">
        <f>ROUND(F25*D25*J25*AA25*AB25,2)</f>
        <v/>
      </c>
      <c r="AD25">
        <f>MIN(AC25,Policies!G25*HurrCapPct)</f>
        <v/>
      </c>
      <c r="AE25">
        <f>Y25+AD25</f>
        <v/>
      </c>
      <c r="AF25" s="1">
        <f>EDATE(Policies!M25,Policies!N25)</f>
        <v/>
      </c>
      <c r="AG25">
        <f>ROUND(YEARFRAC(Policies!M25,AF25,3),4)</f>
        <v/>
      </c>
      <c r="AH25">
        <f>ROUND(AE25*AG25,2)</f>
        <v/>
      </c>
      <c r="AI25">
        <f>MAX(AH25,MinPremium)</f>
        <v/>
      </c>
      <c r="AJ25">
        <f>ROUNDUP(AI25,0)</f>
        <v/>
      </c>
      <c r="AK25">
        <f>VLOOKUP(Policies!N25,FeeTable,2,FALSE)</f>
        <v/>
      </c>
      <c r="AL25">
        <f>ROUND(AJ25*AssessRate,2)</f>
        <v/>
      </c>
      <c r="AM25">
        <f>ROUND((AJ25+AK25)*G25,2)</f>
        <v/>
      </c>
      <c r="AN25">
        <f>AJ25+AK25+AL25+AM25</f>
        <v/>
      </c>
      <c r="AO25">
        <f>IF(OR(Policies!G25&gt;1000000,C25&gt;20,Policies!L25&gt;=3),"REFER","OK")</f>
        <v/>
      </c>
      <c r="AP25">
        <f>ROUND(AH25/D25,3)</f>
        <v/>
      </c>
      <c r="AQ25">
        <f>Policies!B25&amp;"-"&amp;LEFT(Policies!C25,1)&amp;TEXT(Policies!D25,"00")</f>
        <v/>
      </c>
    </row>
    <row r="26">
      <c r="A26">
        <f>Policies!A26</f>
        <v/>
      </c>
      <c r="B26">
        <f>IFERROR(DATEDIF(DATE(Policies!E26,1,1),Policies!M26,"y"),0)</f>
        <v/>
      </c>
      <c r="C26">
        <f>Policies!F26*1</f>
        <v/>
      </c>
      <c r="D26">
        <f>Policies!G26/1000</f>
        <v/>
      </c>
      <c r="E26">
        <f>VLOOKUP(Policies!B26,BaseRates,2,FALSE)</f>
        <v/>
      </c>
      <c r="F26">
        <f>VLOOKUP(Policies!B26,BaseRates,3,FALSE)</f>
        <v/>
      </c>
      <c r="G26">
        <f>VLOOKUP(Policies!B26,BaseRates,4,FALSE)</f>
        <v/>
      </c>
      <c r="H26">
        <f>ROUND(E26*D26,2)</f>
        <v/>
      </c>
      <c r="I26">
        <f>INDEX(RateTables!$B$13:$B$16,MATCH(Policies!C26,RateTables!$A$13:$A$16,0))</f>
        <v/>
      </c>
      <c r="J26">
        <f>INDEX(RateTables!$C$13:$C$16,MATCH(Policies!C26,RateTables!$A$13:$A$16,0))</f>
        <v/>
      </c>
      <c r="K26">
        <f>INDEX(RateTables!$B$19:$C$28,MATCH(Policies!D26,RateTables!$A$19:$A$28,0),IF(Policies!C26="Frame",1,2))</f>
        <v/>
      </c>
      <c r="L26">
        <f>VLOOKUP(B26,AgeBands,2,TRUE)</f>
        <v/>
      </c>
      <c r="M26">
        <f>VLOOKUP(C26,RoofBands,2,TRUE)</f>
        <v/>
      </c>
      <c r="N26">
        <f>VLOOKUP(Policies!G26,AOIBands,2,TRUE)</f>
        <v/>
      </c>
      <c r="O26">
        <f>VLOOKUP(Policies!H26,RateTables!$A$31:$B$35,2,TRUE)</f>
        <v/>
      </c>
      <c r="P26">
        <f>VLOOKUP(MIN(Policies!L26,3),ClaimsTable,2,FALSE)</f>
        <v/>
      </c>
      <c r="Q26">
        <f>ROUND(H26*I26*K26*L26*M26*N26*O26*P26,2)</f>
        <v/>
      </c>
      <c r="R26">
        <f>IF(Policies!J26="Y",1,0)</f>
        <v/>
      </c>
      <c r="S26">
        <f>IF(AND(Policies!L26=0,B26&gt;=3),1,0)</f>
        <v/>
      </c>
      <c r="T26">
        <f>IF(B26&lt;=5,1,0)</f>
        <v/>
      </c>
      <c r="U26">
        <f>IF(Policies!K26="Basic",1,0)</f>
        <v/>
      </c>
      <c r="V26">
        <f>IF(Policies!K26="Fortified",1,0)</f>
        <v/>
      </c>
      <c r="W26">
        <f>SUMPRODUCT(R26:V26,CreditPcts)</f>
        <v/>
      </c>
      <c r="X26">
        <f>MIN(W26,CreditCap)</f>
        <v/>
      </c>
      <c r="Y26">
        <f>ROUND(Q26*(1-X26),2)</f>
        <v/>
      </c>
      <c r="Z26">
        <f>IF(Policies!I26="",0.02,Policies!I26)</f>
        <v/>
      </c>
      <c r="AA26">
        <f>IFERROR(VLOOKUP(Z26,HurrDedTable,2,FALSE),1)</f>
        <v/>
      </c>
      <c r="AB26">
        <f>IFERROR(INDEX(RateTables!$L$31:$L$33,MATCH(Policies!K26,RateTables!$K$31:$K$33,0)),1)</f>
        <v/>
      </c>
      <c r="AC26">
        <f>ROUND(F26*D26*J26*AA26*AB26,2)</f>
        <v/>
      </c>
      <c r="AD26">
        <f>MIN(AC26,Policies!G26*HurrCapPct)</f>
        <v/>
      </c>
      <c r="AE26">
        <f>Y26+AD26</f>
        <v/>
      </c>
      <c r="AF26" s="1">
        <f>EDATE(Policies!M26,Policies!N26)</f>
        <v/>
      </c>
      <c r="AG26">
        <f>ROUND(YEARFRAC(Policies!M26,AF26,3),4)</f>
        <v/>
      </c>
      <c r="AH26">
        <f>ROUND(AE26*AG26,2)</f>
        <v/>
      </c>
      <c r="AI26">
        <f>MAX(AH26,MinPremium)</f>
        <v/>
      </c>
      <c r="AJ26">
        <f>ROUNDUP(AI26,0)</f>
        <v/>
      </c>
      <c r="AK26">
        <f>VLOOKUP(Policies!N26,FeeTable,2,FALSE)</f>
        <v/>
      </c>
      <c r="AL26">
        <f>ROUND(AJ26*AssessRate,2)</f>
        <v/>
      </c>
      <c r="AM26">
        <f>ROUND((AJ26+AK26)*G26,2)</f>
        <v/>
      </c>
      <c r="AN26">
        <f>AJ26+AK26+AL26+AM26</f>
        <v/>
      </c>
      <c r="AO26">
        <f>IF(OR(Policies!G26&gt;1000000,C26&gt;20,Policies!L26&gt;=3),"REFER","OK")</f>
        <v/>
      </c>
      <c r="AP26">
        <f>ROUND(AH26/D26,3)</f>
        <v/>
      </c>
      <c r="AQ26">
        <f>Policies!B26&amp;"-"&amp;LEFT(Policies!C26,1)&amp;TEXT(Policies!D26,"00")</f>
        <v/>
      </c>
    </row>
    <row r="27">
      <c r="A27">
        <f>Policies!A27</f>
        <v/>
      </c>
      <c r="B27">
        <f>IFERROR(DATEDIF(DATE(Policies!E27,1,1),Policies!M27,"y"),0)</f>
        <v/>
      </c>
      <c r="C27">
        <f>Policies!F27*1</f>
        <v/>
      </c>
      <c r="D27">
        <f>Policies!G27/1000</f>
        <v/>
      </c>
      <c r="E27">
        <f>VLOOKUP(Policies!B27,BaseRates,2,FALSE)</f>
        <v/>
      </c>
      <c r="F27">
        <f>VLOOKUP(Policies!B27,BaseRates,3,FALSE)</f>
        <v/>
      </c>
      <c r="G27">
        <f>VLOOKUP(Policies!B27,BaseRates,4,FALSE)</f>
        <v/>
      </c>
      <c r="H27">
        <f>ROUND(E27*D27,2)</f>
        <v/>
      </c>
      <c r="I27">
        <f>INDEX(RateTables!$B$13:$B$16,MATCH(Policies!C27,RateTables!$A$13:$A$16,0))</f>
        <v/>
      </c>
      <c r="J27">
        <f>INDEX(RateTables!$C$13:$C$16,MATCH(Policies!C27,RateTables!$A$13:$A$16,0))</f>
        <v/>
      </c>
      <c r="K27">
        <f>INDEX(RateTables!$B$19:$C$28,MATCH(Policies!D27,RateTables!$A$19:$A$28,0),IF(Policies!C27="Frame",1,2))</f>
        <v/>
      </c>
      <c r="L27">
        <f>VLOOKUP(B27,AgeBands,2,TRUE)</f>
        <v/>
      </c>
      <c r="M27">
        <f>VLOOKUP(C27,RoofBands,2,TRUE)</f>
        <v/>
      </c>
      <c r="N27">
        <f>VLOOKUP(Policies!G27,AOIBands,2,TRUE)</f>
        <v/>
      </c>
      <c r="O27">
        <f>VLOOKUP(Policies!H27,RateTables!$A$31:$B$35,2,TRUE)</f>
        <v/>
      </c>
      <c r="P27">
        <f>VLOOKUP(MIN(Policies!L27,3),ClaimsTable,2,FALSE)</f>
        <v/>
      </c>
      <c r="Q27">
        <f>ROUND(H27*I27*K27*L27*M27*N27*O27*P27,2)</f>
        <v/>
      </c>
      <c r="R27">
        <f>IF(Policies!J27="Y",1,0)</f>
        <v/>
      </c>
      <c r="S27">
        <f>IF(AND(Policies!L27=0,B27&gt;=3),1,0)</f>
        <v/>
      </c>
      <c r="T27">
        <f>IF(B27&lt;=5,1,0)</f>
        <v/>
      </c>
      <c r="U27">
        <f>IF(Policies!K27="Basic",1,0)</f>
        <v/>
      </c>
      <c r="V27">
        <f>IF(Policies!K27="Fortified",1,0)</f>
        <v/>
      </c>
      <c r="W27">
        <f>SUMPRODUCT(R27:V27,CreditPcts)</f>
        <v/>
      </c>
      <c r="X27">
        <f>MIN(W27,CreditCap)</f>
        <v/>
      </c>
      <c r="Y27">
        <f>ROUND(Q27*(1-X27),2)</f>
        <v/>
      </c>
      <c r="Z27">
        <f>IF(Policies!I27="",0.02,Policies!I27)</f>
        <v/>
      </c>
      <c r="AA27">
        <f>IFERROR(VLOOKUP(Z27,HurrDedTable,2,FALSE),1)</f>
        <v/>
      </c>
      <c r="AB27">
        <f>IFERROR(INDEX(RateTables!$L$31:$L$33,MATCH(Policies!K27,RateTables!$K$31:$K$33,0)),1)</f>
        <v/>
      </c>
      <c r="AC27">
        <f>ROUND(F27*D27*J27*AA27*AB27,2)</f>
        <v/>
      </c>
      <c r="AD27">
        <f>MIN(AC27,Policies!G27*HurrCapPct)</f>
        <v/>
      </c>
      <c r="AE27">
        <f>Y27+AD27</f>
        <v/>
      </c>
      <c r="AF27" s="1">
        <f>EDATE(Policies!M27,Policies!N27)</f>
        <v/>
      </c>
      <c r="AG27">
        <f>ROUND(YEARFRAC(Policies!M27,AF27,3),4)</f>
        <v/>
      </c>
      <c r="AH27">
        <f>ROUND(AE27*AG27,2)</f>
        <v/>
      </c>
      <c r="AI27">
        <f>MAX(AH27,MinPremium)</f>
        <v/>
      </c>
      <c r="AJ27">
        <f>ROUNDUP(AI27,0)</f>
        <v/>
      </c>
      <c r="AK27">
        <f>VLOOKUP(Policies!N27,FeeTable,2,FALSE)</f>
        <v/>
      </c>
      <c r="AL27">
        <f>ROUND(AJ27*AssessRate,2)</f>
        <v/>
      </c>
      <c r="AM27">
        <f>ROUND((AJ27+AK27)*G27,2)</f>
        <v/>
      </c>
      <c r="AN27">
        <f>AJ27+AK27+AL27+AM27</f>
        <v/>
      </c>
      <c r="AO27">
        <f>IF(OR(Policies!G27&gt;1000000,C27&gt;20,Policies!L27&gt;=3),"REFER","OK")</f>
        <v/>
      </c>
      <c r="AP27">
        <f>ROUND(AH27/D27,3)</f>
        <v/>
      </c>
      <c r="AQ27">
        <f>Policies!B27&amp;"-"&amp;LEFT(Policies!C27,1)&amp;TEXT(Policies!D27,"00")</f>
        <v/>
      </c>
    </row>
    <row r="28">
      <c r="A28">
        <f>Policies!A28</f>
        <v/>
      </c>
      <c r="B28">
        <f>IFERROR(DATEDIF(DATE(Policies!E28,1,1),Policies!M28,"y"),0)</f>
        <v/>
      </c>
      <c r="C28">
        <f>Policies!F28*1</f>
        <v/>
      </c>
      <c r="D28">
        <f>Policies!G28/1000</f>
        <v/>
      </c>
      <c r="E28">
        <f>VLOOKUP(Policies!B28,BaseRates,2,FALSE)</f>
        <v/>
      </c>
      <c r="F28">
        <f>VLOOKUP(Policies!B28,BaseRates,3,FALSE)</f>
        <v/>
      </c>
      <c r="G28">
        <f>VLOOKUP(Policies!B28,BaseRates,4,FALSE)</f>
        <v/>
      </c>
      <c r="H28">
        <f>ROUND(E28*D28,2)</f>
        <v/>
      </c>
      <c r="I28">
        <f>INDEX(RateTables!$B$13:$B$16,MATCH(Policies!C28,RateTables!$A$13:$A$16,0))</f>
        <v/>
      </c>
      <c r="J28">
        <f>INDEX(RateTables!$C$13:$C$16,MATCH(Policies!C28,RateTables!$A$13:$A$16,0))</f>
        <v/>
      </c>
      <c r="K28">
        <f>INDEX(RateTables!$B$19:$C$28,MATCH(Policies!D28,RateTables!$A$19:$A$28,0),IF(Policies!C28="Frame",1,2))</f>
        <v/>
      </c>
      <c r="L28">
        <f>VLOOKUP(B28,AgeBands,2,TRUE)</f>
        <v/>
      </c>
      <c r="M28">
        <f>VLOOKUP(C28,RoofBands,2,TRUE)</f>
        <v/>
      </c>
      <c r="N28">
        <f>VLOOKUP(Policies!G28,AOIBands,2,TRUE)</f>
        <v/>
      </c>
      <c r="O28">
        <f>VLOOKUP(Policies!H28,RateTables!$A$31:$B$35,2,TRUE)</f>
        <v/>
      </c>
      <c r="P28">
        <f>VLOOKUP(MIN(Policies!L28,3),ClaimsTable,2,FALSE)</f>
        <v/>
      </c>
      <c r="Q28">
        <f>ROUND(H28*I28*K28*L28*M28*N28*O28*P28,2)</f>
        <v/>
      </c>
      <c r="R28">
        <f>IF(Policies!J28="Y",1,0)</f>
        <v/>
      </c>
      <c r="S28">
        <f>IF(AND(Policies!L28=0,B28&gt;=3),1,0)</f>
        <v/>
      </c>
      <c r="T28">
        <f>IF(B28&lt;=5,1,0)</f>
        <v/>
      </c>
      <c r="U28">
        <f>IF(Policies!K28="Basic",1,0)</f>
        <v/>
      </c>
      <c r="V28">
        <f>IF(Policies!K28="Fortified",1,0)</f>
        <v/>
      </c>
      <c r="W28">
        <f>SUMPRODUCT(R28:V28,CreditPcts)</f>
        <v/>
      </c>
      <c r="X28">
        <f>MIN(W28,CreditCap)</f>
        <v/>
      </c>
      <c r="Y28">
        <f>ROUND(Q28*(1-X28),2)</f>
        <v/>
      </c>
      <c r="Z28">
        <f>IF(Policies!I28="",0.02,Policies!I28)</f>
        <v/>
      </c>
      <c r="AA28">
        <f>IFERROR(VLOOKUP(Z28,HurrDedTable,2,FALSE),1)</f>
        <v/>
      </c>
      <c r="AB28">
        <f>IFERROR(INDEX(RateTables!$L$31:$L$33,MATCH(Policies!K28,RateTables!$K$31:$K$33,0)),1)</f>
        <v/>
      </c>
      <c r="AC28">
        <f>ROUND(F28*D28*J28*AA28*AB28,2)</f>
        <v/>
      </c>
      <c r="AD28">
        <f>MIN(AC28,Policies!G28*HurrCapPct)</f>
        <v/>
      </c>
      <c r="AE28">
        <f>Y28+AD28</f>
        <v/>
      </c>
      <c r="AF28" s="1">
        <f>EDATE(Policies!M28,Policies!N28)</f>
        <v/>
      </c>
      <c r="AG28">
        <f>ROUND(YEARFRAC(Policies!M28,AF28,3),4)</f>
        <v/>
      </c>
      <c r="AH28">
        <f>ROUND(AE28*AG28,2)</f>
        <v/>
      </c>
      <c r="AI28">
        <f>MAX(AH28,MinPremium)</f>
        <v/>
      </c>
      <c r="AJ28">
        <f>ROUNDUP(AI28,0)</f>
        <v/>
      </c>
      <c r="AK28">
        <f>VLOOKUP(Policies!N28,FeeTable,2,FALSE)</f>
        <v/>
      </c>
      <c r="AL28">
        <f>ROUND(AJ28*AssessRate,2)</f>
        <v/>
      </c>
      <c r="AM28">
        <f>ROUND((AJ28+AK28)*G28,2)</f>
        <v/>
      </c>
      <c r="AN28">
        <f>AJ28+AK28+AL28+AM28</f>
        <v/>
      </c>
      <c r="AO28">
        <f>IF(OR(Policies!G28&gt;1000000,C28&gt;20,Policies!L28&gt;=3),"REFER","OK")</f>
        <v/>
      </c>
      <c r="AP28">
        <f>ROUND(AH28/D28,3)</f>
        <v/>
      </c>
      <c r="AQ28">
        <f>Policies!B28&amp;"-"&amp;LEFT(Policies!C28,1)&amp;TEXT(Policies!D28,"00")</f>
        <v/>
      </c>
    </row>
    <row r="29">
      <c r="A29">
        <f>Policies!A29</f>
        <v/>
      </c>
      <c r="B29">
        <f>IFERROR(DATEDIF(DATE(Policies!E29,1,1),Policies!M29,"y"),0)</f>
        <v/>
      </c>
      <c r="C29">
        <f>Policies!F29*1</f>
        <v/>
      </c>
      <c r="D29">
        <f>Policies!G29/1000</f>
        <v/>
      </c>
      <c r="E29">
        <f>VLOOKUP(Policies!B29,BaseRates,2,FALSE)</f>
        <v/>
      </c>
      <c r="F29">
        <f>VLOOKUP(Policies!B29,BaseRates,3,FALSE)</f>
        <v/>
      </c>
      <c r="G29">
        <f>VLOOKUP(Policies!B29,BaseRates,4,FALSE)</f>
        <v/>
      </c>
      <c r="H29">
        <f>ROUND(E29*D29,2)</f>
        <v/>
      </c>
      <c r="I29">
        <f>INDEX(RateTables!$B$13:$B$16,MATCH(Policies!C29,RateTables!$A$13:$A$16,0))</f>
        <v/>
      </c>
      <c r="J29">
        <f>INDEX(RateTables!$C$13:$C$16,MATCH(Policies!C29,RateTables!$A$13:$A$16,0))</f>
        <v/>
      </c>
      <c r="K29">
        <f>INDEX(RateTables!$B$19:$C$28,MATCH(Policies!D29,RateTables!$A$19:$A$28,0),IF(Policies!C29="Frame",1,2))</f>
        <v/>
      </c>
      <c r="L29">
        <f>VLOOKUP(B29,AgeBands,2,TRUE)</f>
        <v/>
      </c>
      <c r="M29">
        <f>VLOOKUP(C29,RoofBands,2,TRUE)</f>
        <v/>
      </c>
      <c r="N29">
        <f>VLOOKUP(Policies!G29,AOIBands,2,TRUE)</f>
        <v/>
      </c>
      <c r="O29">
        <f>VLOOKUP(Policies!H29,RateTables!$A$31:$B$35,2,TRUE)</f>
        <v/>
      </c>
      <c r="P29">
        <f>VLOOKUP(MIN(Policies!L29,3),ClaimsTable,2,FALSE)</f>
        <v/>
      </c>
      <c r="Q29">
        <f>ROUND(H29*I29*K29*L29*M29*N29*O29*P29,2)</f>
        <v/>
      </c>
      <c r="R29">
        <f>IF(Policies!J29="Y",1,0)</f>
        <v/>
      </c>
      <c r="S29">
        <f>IF(AND(Policies!L29=0,B29&gt;=3),1,0)</f>
        <v/>
      </c>
      <c r="T29">
        <f>IF(B29&lt;=5,1,0)</f>
        <v/>
      </c>
      <c r="U29">
        <f>IF(Policies!K29="Basic",1,0)</f>
        <v/>
      </c>
      <c r="V29">
        <f>IF(Policies!K29="Fortified",1,0)</f>
        <v/>
      </c>
      <c r="W29">
        <f>SUMPRODUCT(R29:V29,CreditPcts)</f>
        <v/>
      </c>
      <c r="X29">
        <f>MIN(W29,CreditCap)</f>
        <v/>
      </c>
      <c r="Y29">
        <f>ROUND(Q29*(1-X29),2)</f>
        <v/>
      </c>
      <c r="Z29">
        <f>IF(Policies!I29="",0.02,Policies!I29)</f>
        <v/>
      </c>
      <c r="AA29">
        <f>IFERROR(VLOOKUP(Z29,HurrDedTable,2,FALSE),1)</f>
        <v/>
      </c>
      <c r="AB29">
        <f>IFERROR(INDEX(RateTables!$L$31:$L$33,MATCH(Policies!K29,RateTables!$K$31:$K$33,0)),1)</f>
        <v/>
      </c>
      <c r="AC29">
        <f>ROUND(F29*D29*J29*AA29*AB29,2)</f>
        <v/>
      </c>
      <c r="AD29">
        <f>MIN(AC29,Policies!G29*HurrCapPct)</f>
        <v/>
      </c>
      <c r="AE29">
        <f>Y29+AD29</f>
        <v/>
      </c>
      <c r="AF29" s="1">
        <f>EDATE(Policies!M29,Policies!N29)</f>
        <v/>
      </c>
      <c r="AG29">
        <f>ROUND(YEARFRAC(Policies!M29,AF29,3),4)</f>
        <v/>
      </c>
      <c r="AH29">
        <f>ROUND(AE29*AG29,2)</f>
        <v/>
      </c>
      <c r="AI29">
        <f>MAX(AH29,MinPremium)</f>
        <v/>
      </c>
      <c r="AJ29">
        <f>ROUNDUP(AI29,0)</f>
        <v/>
      </c>
      <c r="AK29">
        <f>VLOOKUP(Policies!N29,FeeTable,2,FALSE)</f>
        <v/>
      </c>
      <c r="AL29">
        <f>ROUND(AJ29*AssessRate,2)</f>
        <v/>
      </c>
      <c r="AM29">
        <f>ROUND((AJ29+AK29)*G29,2)</f>
        <v/>
      </c>
      <c r="AN29">
        <f>AJ29+AK29+AL29+AM29</f>
        <v/>
      </c>
      <c r="AO29">
        <f>IF(OR(Policies!G29&gt;1000000,C29&gt;20,Policies!L29&gt;=3),"REFER","OK")</f>
        <v/>
      </c>
      <c r="AP29">
        <f>ROUND(AH29/D29,3)</f>
        <v/>
      </c>
      <c r="AQ29">
        <f>Policies!B29&amp;"-"&amp;LEFT(Policies!C29,1)&amp;TEXT(Policies!D29,"00")</f>
        <v/>
      </c>
    </row>
    <row r="30">
      <c r="A30">
        <f>Policies!A30</f>
        <v/>
      </c>
      <c r="B30">
        <f>IFERROR(DATEDIF(DATE(Policies!E30,1,1),Policies!M30,"y"),0)</f>
        <v/>
      </c>
      <c r="C30">
        <f>Policies!F30*1</f>
        <v/>
      </c>
      <c r="D30">
        <f>Policies!G30/1000</f>
        <v/>
      </c>
      <c r="E30">
        <f>VLOOKUP(Policies!B30,BaseRates,2,FALSE)</f>
        <v/>
      </c>
      <c r="F30">
        <f>VLOOKUP(Policies!B30,BaseRates,3,FALSE)</f>
        <v/>
      </c>
      <c r="G30">
        <f>VLOOKUP(Policies!B30,BaseRates,4,FALSE)</f>
        <v/>
      </c>
      <c r="H30">
        <f>ROUND(E30*D30,2)</f>
        <v/>
      </c>
      <c r="I30">
        <f>INDEX(RateTables!$B$13:$B$16,MATCH(Policies!C30,RateTables!$A$13:$A$16,0))</f>
        <v/>
      </c>
      <c r="J30">
        <f>INDEX(RateTables!$C$13:$C$16,MATCH(Policies!C30,RateTables!$A$13:$A$16,0))</f>
        <v/>
      </c>
      <c r="K30">
        <f>INDEX(RateTables!$B$19:$C$28,MATCH(Policies!D30,RateTables!$A$19:$A$28,0),IF(Policies!C30="Frame",1,2))</f>
        <v/>
      </c>
      <c r="L30">
        <f>VLOOKUP(B30,AgeBands,2,TRUE)</f>
        <v/>
      </c>
      <c r="M30">
        <f>VLOOKUP(C30,RoofBands,2,TRUE)</f>
        <v/>
      </c>
      <c r="N30">
        <f>VLOOKUP(Policies!G30,AOIBands,2,TRUE)</f>
        <v/>
      </c>
      <c r="O30">
        <f>VLOOKUP(Policies!H30,RateTables!$A$31:$B$35,2,TRUE)</f>
        <v/>
      </c>
      <c r="P30">
        <f>VLOOKUP(MIN(Policies!L30,3),ClaimsTable,2,FALSE)</f>
        <v/>
      </c>
      <c r="Q30">
        <f>ROUND(H30*I30*K30*L30*M30*N30*O30*P30,2)</f>
        <v/>
      </c>
      <c r="R30">
        <f>IF(Policies!J30="Y",1,0)</f>
        <v/>
      </c>
      <c r="S30">
        <f>IF(AND(Policies!L30=0,B30&gt;=3),1,0)</f>
        <v/>
      </c>
      <c r="T30">
        <f>IF(B30&lt;=5,1,0)</f>
        <v/>
      </c>
      <c r="U30">
        <f>IF(Policies!K30="Basic",1,0)</f>
        <v/>
      </c>
      <c r="V30">
        <f>IF(Policies!K30="Fortified",1,0)</f>
        <v/>
      </c>
      <c r="W30">
        <f>SUMPRODUCT(R30:V30,CreditPcts)</f>
        <v/>
      </c>
      <c r="X30">
        <f>MIN(W30,CreditCap)</f>
        <v/>
      </c>
      <c r="Y30">
        <f>ROUND(Q30*(1-X30),2)</f>
        <v/>
      </c>
      <c r="Z30">
        <f>IF(Policies!I30="",0.02,Policies!I30)</f>
        <v/>
      </c>
      <c r="AA30">
        <f>IFERROR(VLOOKUP(Z30,HurrDedTable,2,FALSE),1)</f>
        <v/>
      </c>
      <c r="AB30">
        <f>IFERROR(INDEX(RateTables!$L$31:$L$33,MATCH(Policies!K30,RateTables!$K$31:$K$33,0)),1)</f>
        <v/>
      </c>
      <c r="AC30">
        <f>ROUND(F30*D30*J30*AA30*AB30,2)</f>
        <v/>
      </c>
      <c r="AD30">
        <f>MIN(AC30,Policies!G30*HurrCapPct)</f>
        <v/>
      </c>
      <c r="AE30">
        <f>Y30+AD30</f>
        <v/>
      </c>
      <c r="AF30" s="1">
        <f>EDATE(Policies!M30,Policies!N30)</f>
        <v/>
      </c>
      <c r="AG30">
        <f>ROUND(YEARFRAC(Policies!M30,AF30,3),4)</f>
        <v/>
      </c>
      <c r="AH30">
        <f>ROUND(AE30*AG30,2)</f>
        <v/>
      </c>
      <c r="AI30">
        <f>MAX(AH30,MinPremium)</f>
        <v/>
      </c>
      <c r="AJ30">
        <f>ROUNDUP(AI30,0)</f>
        <v/>
      </c>
      <c r="AK30">
        <f>VLOOKUP(Policies!N30,FeeTable,2,FALSE)</f>
        <v/>
      </c>
      <c r="AL30">
        <f>ROUND(AJ30*AssessRate,2)</f>
        <v/>
      </c>
      <c r="AM30">
        <f>ROUND((AJ30+AK30)*G30,2)</f>
        <v/>
      </c>
      <c r="AN30">
        <f>AJ30+AK30+AL30+AM30</f>
        <v/>
      </c>
      <c r="AO30">
        <f>IF(OR(Policies!G30&gt;1000000,C30&gt;20,Policies!L30&gt;=3),"REFER","OK")</f>
        <v/>
      </c>
      <c r="AP30">
        <f>ROUND(AH30/D30,3)</f>
        <v/>
      </c>
      <c r="AQ30">
        <f>Policies!B30&amp;"-"&amp;LEFT(Policies!C30,1)&amp;TEXT(Policies!D30,"00")</f>
        <v/>
      </c>
    </row>
    <row r="31">
      <c r="A31">
        <f>Policies!A31</f>
        <v/>
      </c>
      <c r="B31">
        <f>IFERROR(DATEDIF(DATE(Policies!E31,1,1),Policies!M31,"y"),0)</f>
        <v/>
      </c>
      <c r="C31">
        <f>Policies!F31*1</f>
        <v/>
      </c>
      <c r="D31">
        <f>Policies!G31/1000</f>
        <v/>
      </c>
      <c r="E31">
        <f>VLOOKUP(Policies!B31,BaseRates,2,FALSE)</f>
        <v/>
      </c>
      <c r="F31">
        <f>VLOOKUP(Policies!B31,BaseRates,3,FALSE)</f>
        <v/>
      </c>
      <c r="G31">
        <f>VLOOKUP(Policies!B31,BaseRates,4,FALSE)</f>
        <v/>
      </c>
      <c r="H31">
        <f>ROUND(E31*D31,2)</f>
        <v/>
      </c>
      <c r="I31">
        <f>INDEX(RateTables!$B$13:$B$16,MATCH(Policies!C31,RateTables!$A$13:$A$16,0))</f>
        <v/>
      </c>
      <c r="J31">
        <f>INDEX(RateTables!$C$13:$C$16,MATCH(Policies!C31,RateTables!$A$13:$A$16,0))</f>
        <v/>
      </c>
      <c r="K31">
        <f>INDEX(RateTables!$B$19:$C$28,MATCH(Policies!D31,RateTables!$A$19:$A$28,0),IF(Policies!C31="Frame",1,2))</f>
        <v/>
      </c>
      <c r="L31">
        <f>VLOOKUP(B31,AgeBands,2,TRUE)</f>
        <v/>
      </c>
      <c r="M31">
        <f>VLOOKUP(C31,RoofBands,2,TRUE)</f>
        <v/>
      </c>
      <c r="N31">
        <f>VLOOKUP(Policies!G31,AOIBands,2,TRUE)</f>
        <v/>
      </c>
      <c r="O31">
        <f>VLOOKUP(Policies!H31,RateTables!$A$31:$B$35,2,TRUE)</f>
        <v/>
      </c>
      <c r="P31">
        <f>VLOOKUP(MIN(Policies!L31,3),ClaimsTable,2,FALSE)</f>
        <v/>
      </c>
      <c r="Q31">
        <f>ROUND(H31*I31*K31*L31*M31*N31*O31*P31,2)</f>
        <v/>
      </c>
      <c r="R31">
        <f>IF(Policies!J31="Y",1,0)</f>
        <v/>
      </c>
      <c r="S31">
        <f>IF(AND(Policies!L31=0,B31&gt;=3),1,0)</f>
        <v/>
      </c>
      <c r="T31">
        <f>IF(B31&lt;=5,1,0)</f>
        <v/>
      </c>
      <c r="U31">
        <f>IF(Policies!K31="Basic",1,0)</f>
        <v/>
      </c>
      <c r="V31">
        <f>IF(Policies!K31="Fortified",1,0)</f>
        <v/>
      </c>
      <c r="W31">
        <f>SUMPRODUCT(R31:V31,CreditPcts)</f>
        <v/>
      </c>
      <c r="X31">
        <f>W31</f>
        <v/>
      </c>
      <c r="Y31">
        <f>ROUND(Q31*(1-X31),2)</f>
        <v/>
      </c>
      <c r="Z31">
        <f>IF(Policies!I31="",0.02,Policies!I31)</f>
        <v/>
      </c>
      <c r="AA31">
        <f>IFERROR(VLOOKUP(Z31,HurrDedTable,2,FALSE),1)</f>
        <v/>
      </c>
      <c r="AB31">
        <f>IFERROR(INDEX(RateTables!$L$31:$L$33,MATCH(Policies!K31,RateTables!$K$31:$K$33,0)),1)</f>
        <v/>
      </c>
      <c r="AC31">
        <f>ROUND(F31*D31*J31*AA31*AB31,2)</f>
        <v/>
      </c>
      <c r="AD31">
        <f>MIN(AC31,Policies!G31*HurrCapPct)</f>
        <v/>
      </c>
      <c r="AE31">
        <f>Y31+AD31</f>
        <v/>
      </c>
      <c r="AF31" s="1">
        <f>EDATE(Policies!M31,Policies!N31)</f>
        <v/>
      </c>
      <c r="AG31">
        <f>ROUND(YEARFRAC(Policies!M31,AF31,3),4)</f>
        <v/>
      </c>
      <c r="AH31">
        <f>ROUND(AE31*AG31,2)</f>
        <v/>
      </c>
      <c r="AI31">
        <f>MAX(AH31,MinPremium)</f>
        <v/>
      </c>
      <c r="AJ31">
        <f>ROUNDUP(AI31,0)</f>
        <v/>
      </c>
      <c r="AK31">
        <f>VLOOKUP(Policies!N31,FeeTable,2,FALSE)</f>
        <v/>
      </c>
      <c r="AL31">
        <f>ROUND(AJ31*AssessRate,2)</f>
        <v/>
      </c>
      <c r="AM31">
        <f>ROUND((AJ31+AK31)*G31,2)</f>
        <v/>
      </c>
      <c r="AN31">
        <f>AJ31+AK31+AL31+AM31</f>
        <v/>
      </c>
      <c r="AO31">
        <f>IF(OR(Policies!G31&gt;1000000,C31&gt;20,Policies!L31&gt;=3),"REFER","OK")</f>
        <v/>
      </c>
      <c r="AP31">
        <f>ROUND(AH31/D31,3)</f>
        <v/>
      </c>
      <c r="AQ31">
        <f>Policies!B31&amp;"-"&amp;LEFT(Policies!C31,1)&amp;TEXT(Policies!D31,"00")</f>
        <v/>
      </c>
    </row>
    <row r="32">
      <c r="A32">
        <f>Policies!A32</f>
        <v/>
      </c>
      <c r="B32">
        <f>IFERROR(DATEDIF(DATE(Policies!E32,1,1),Policies!M32,"y"),0)</f>
        <v/>
      </c>
      <c r="C32">
        <f>Policies!F32*1</f>
        <v/>
      </c>
      <c r="D32">
        <f>Policies!G32/1000</f>
        <v/>
      </c>
      <c r="E32">
        <f>VLOOKUP(Policies!B32,BaseRates,2,FALSE)</f>
        <v/>
      </c>
      <c r="F32">
        <f>VLOOKUP(Policies!B32,BaseRates,3,FALSE)</f>
        <v/>
      </c>
      <c r="G32">
        <f>VLOOKUP(Policies!B32,BaseRates,4,FALSE)</f>
        <v/>
      </c>
      <c r="H32">
        <f>ROUND(E32*D32,2)</f>
        <v/>
      </c>
      <c r="I32">
        <f>INDEX(RateTables!$B$13:$B$16,MATCH(Policies!C32,RateTables!$A$13:$A$16,0))</f>
        <v/>
      </c>
      <c r="J32">
        <f>INDEX(RateTables!$C$13:$C$16,MATCH(Policies!C32,RateTables!$A$13:$A$16,0))</f>
        <v/>
      </c>
      <c r="K32">
        <f>INDEX(RateTables!$B$19:$C$28,MATCH(Policies!D32,RateTables!$A$19:$A$28,0),IF(Policies!C32="Frame",1,2))</f>
        <v/>
      </c>
      <c r="L32">
        <f>VLOOKUP(B32,AgeBands,2,TRUE)</f>
        <v/>
      </c>
      <c r="M32">
        <f>VLOOKUP(C32,RoofBands,2,TRUE)</f>
        <v/>
      </c>
      <c r="N32">
        <f>VLOOKUP(Policies!G32,AOIBands,2,TRUE)</f>
        <v/>
      </c>
      <c r="O32">
        <f>VLOOKUP(Policies!H32,RateTables!$A$31:$B$35,2,TRUE)</f>
        <v/>
      </c>
      <c r="P32">
        <f>VLOOKUP(MIN(Policies!L32,3),ClaimsTable,2,FALSE)</f>
        <v/>
      </c>
      <c r="Q32">
        <f>ROUND(H32*I32*K32*L32*M32*N32*O32*P32,2)</f>
        <v/>
      </c>
      <c r="R32">
        <f>IF(Policies!J32="Y",1,0)</f>
        <v/>
      </c>
      <c r="S32">
        <f>IF(AND(Policies!L32=0,B32&gt;=3),1,0)</f>
        <v/>
      </c>
      <c r="T32">
        <f>IF(B32&lt;=5,1,0)</f>
        <v/>
      </c>
      <c r="U32">
        <f>IF(Policies!K32="Basic",1,0)</f>
        <v/>
      </c>
      <c r="V32">
        <f>IF(Policies!K32="Fortified",1,0)</f>
        <v/>
      </c>
      <c r="W32">
        <f>SUMPRODUCT(R32:V32,CreditPcts)</f>
        <v/>
      </c>
      <c r="X32">
        <f>MIN(W32,CreditCap)</f>
        <v/>
      </c>
      <c r="Y32">
        <f>ROUND(Q32*(1-X32),2)</f>
        <v/>
      </c>
      <c r="Z32">
        <f>IF(Policies!I32="",0.02,Policies!I32)</f>
        <v/>
      </c>
      <c r="AA32">
        <f>IFERROR(VLOOKUP(Z32,HurrDedTable,2,FALSE),1)</f>
        <v/>
      </c>
      <c r="AB32">
        <f>IFERROR(INDEX(RateTables!$L$31:$L$33,MATCH(Policies!K32,RateTables!$K$31:$K$33,0)),1)</f>
        <v/>
      </c>
      <c r="AC32">
        <f>ROUND(F32*D32*J32*AA32*AB32,2)</f>
        <v/>
      </c>
      <c r="AD32">
        <f>MIN(AC32,Policies!G32*HurrCapPct)</f>
        <v/>
      </c>
      <c r="AE32">
        <f>Y32+AD32</f>
        <v/>
      </c>
      <c r="AF32" s="1">
        <f>EDATE(Policies!M32,Policies!N32)</f>
        <v/>
      </c>
      <c r="AG32">
        <f>ROUND(YEARFRAC(Policies!M32,AF32,3),4)</f>
        <v/>
      </c>
      <c r="AH32">
        <f>ROUND(AE32*AG32,2)</f>
        <v/>
      </c>
      <c r="AI32">
        <f>MAX(AH32,MinPremium)</f>
        <v/>
      </c>
      <c r="AJ32">
        <f>ROUNDUP(AI32,0)</f>
        <v/>
      </c>
      <c r="AK32">
        <f>VLOOKUP(Policies!N32,FeeTable,2,FALSE)</f>
        <v/>
      </c>
      <c r="AL32">
        <f>ROUND(AJ32*AssessRate,2)</f>
        <v/>
      </c>
      <c r="AM32">
        <f>ROUND((AJ32+AK32)*G32,2)</f>
        <v/>
      </c>
      <c r="AN32">
        <f>AJ32+AK32+AL32+AM32</f>
        <v/>
      </c>
      <c r="AO32">
        <f>IF(OR(Policies!G32&gt;1000000,C32&gt;20,Policies!L32&gt;=3),"REFER","OK")</f>
        <v/>
      </c>
      <c r="AP32">
        <f>ROUND(AH32/D32,3)</f>
        <v/>
      </c>
      <c r="AQ32">
        <f>Policies!B32&amp;"-"&amp;LEFT(Policies!C32,1)&amp;TEXT(Policies!D32,"00")</f>
        <v/>
      </c>
    </row>
    <row r="33">
      <c r="A33">
        <f>Policies!A33</f>
        <v/>
      </c>
      <c r="B33">
        <f>IFERROR(DATEDIF(DATE(Policies!E33,1,1),Policies!M33,"y"),0)</f>
        <v/>
      </c>
      <c r="C33">
        <f>Policies!F33*1</f>
        <v/>
      </c>
      <c r="D33">
        <f>Policies!G33/1000</f>
        <v/>
      </c>
      <c r="E33">
        <f>VLOOKUP(Policies!B33,BaseRates,2,FALSE)</f>
        <v/>
      </c>
      <c r="F33">
        <f>VLOOKUP(Policies!B33,BaseRates,3,FALSE)</f>
        <v/>
      </c>
      <c r="G33">
        <f>VLOOKUP(Policies!B33,BaseRates,4,FALSE)</f>
        <v/>
      </c>
      <c r="H33">
        <f>ROUND(E33*D33,2)</f>
        <v/>
      </c>
      <c r="I33">
        <f>INDEX(RateTables!$B$13:$B$16,MATCH(Policies!C33,RateTables!$A$13:$A$16,0))</f>
        <v/>
      </c>
      <c r="J33">
        <f>INDEX(RateTables!$C$13:$C$16,MATCH(Policies!C33,RateTables!$A$13:$A$16,0))</f>
        <v/>
      </c>
      <c r="K33">
        <f>INDEX(RateTables!$B$19:$C$28,MATCH(Policies!D33,RateTables!$A$19:$A$28,0),IF(Policies!C33="Frame",1,2))</f>
        <v/>
      </c>
      <c r="L33">
        <f>VLOOKUP(B33,AgeBands,2,TRUE)</f>
        <v/>
      </c>
      <c r="M33">
        <f>VLOOKUP(C33,RoofBands,2,TRUE)</f>
        <v/>
      </c>
      <c r="N33">
        <f>VLOOKUP(Policies!G33,AOIBands,2,TRUE)</f>
        <v/>
      </c>
      <c r="O33">
        <f>VLOOKUP(Policies!H33,RateTables!$A$31:$B$35,2,TRUE)</f>
        <v/>
      </c>
      <c r="P33">
        <f>VLOOKUP(MIN(Policies!L33,3),ClaimsTable,2,FALSE)</f>
        <v/>
      </c>
      <c r="Q33">
        <f>ROUND(H33*I33*K33*L33*M33*N33*O33*P33,2)</f>
        <v/>
      </c>
      <c r="R33">
        <f>IF(Policies!J33="Y",1,0)</f>
        <v/>
      </c>
      <c r="S33">
        <f>IF(AND(Policies!L33=0,B33&gt;=3),1,0)</f>
        <v/>
      </c>
      <c r="T33">
        <f>IF(B33&lt;=5,1,0)</f>
        <v/>
      </c>
      <c r="U33">
        <f>IF(Policies!K33="Basic",1,0)</f>
        <v/>
      </c>
      <c r="V33">
        <f>IF(Policies!K33="Fortified",1,0)</f>
        <v/>
      </c>
      <c r="W33">
        <f>SUMPRODUCT(R33:V33,CreditPcts)</f>
        <v/>
      </c>
      <c r="X33">
        <f>MIN(W33,CreditCap)</f>
        <v/>
      </c>
      <c r="Y33">
        <f>ROUND(Q33*(1-X33),2)</f>
        <v/>
      </c>
      <c r="Z33">
        <f>IF(Policies!I33="",0.02,Policies!I33)</f>
        <v/>
      </c>
      <c r="AA33">
        <f>IFERROR(VLOOKUP(Z33,HurrDedTable,2,FALSE),1)</f>
        <v/>
      </c>
      <c r="AB33">
        <f>IFERROR(INDEX(RateTables!$L$31:$L$33,MATCH(Policies!K33,RateTables!$K$31:$K$33,0)),1)</f>
        <v/>
      </c>
      <c r="AC33">
        <f>ROUND(F33*D33*J33*AA33*AB33,2)</f>
        <v/>
      </c>
      <c r="AD33">
        <f>MIN(AC33,Policies!G33*HurrCapPct)</f>
        <v/>
      </c>
      <c r="AE33">
        <f>Y33+AD33</f>
        <v/>
      </c>
      <c r="AF33" s="1">
        <f>EDATE(Policies!M33,Policies!N33)</f>
        <v/>
      </c>
      <c r="AG33">
        <f>ROUND(YEARFRAC(Policies!M33,AF33,3),4)</f>
        <v/>
      </c>
      <c r="AH33">
        <f>ROUND(AE33*AG33,2)</f>
        <v/>
      </c>
      <c r="AI33">
        <f>MAX(AH33,MinPremium)</f>
        <v/>
      </c>
      <c r="AJ33">
        <f>ROUNDUP(AI33,0)</f>
        <v/>
      </c>
      <c r="AK33">
        <f>VLOOKUP(Policies!N33,FeeTable,2,FALSE)</f>
        <v/>
      </c>
      <c r="AL33">
        <f>ROUND(AJ33*AssessRate,2)</f>
        <v/>
      </c>
      <c r="AM33">
        <f>ROUND((AJ33+AK33)*G33,2)</f>
        <v/>
      </c>
      <c r="AN33">
        <f>AJ33+AK33+AL33+AM33</f>
        <v/>
      </c>
      <c r="AO33">
        <f>IF(OR(Policies!G33&gt;1000000,C33&gt;20,Policies!L33&gt;=3),"REFER","OK")</f>
        <v/>
      </c>
      <c r="AP33">
        <f>ROUND(AH33/D33,3)</f>
        <v/>
      </c>
      <c r="AQ33">
        <f>Policies!B33&amp;"-"&amp;LEFT(Policies!C33,1)&amp;TEXT(Policies!D33,"00")</f>
        <v/>
      </c>
    </row>
    <row r="34">
      <c r="A34">
        <f>Policies!A34</f>
        <v/>
      </c>
      <c r="B34">
        <f>IFERROR(DATEDIF(DATE(Policies!E34,1,1),Policies!M34,"y"),0)</f>
        <v/>
      </c>
      <c r="C34">
        <f>Policies!F34*1</f>
        <v/>
      </c>
      <c r="D34">
        <f>Policies!G34/1000</f>
        <v/>
      </c>
      <c r="E34">
        <f>VLOOKUP(Policies!B34,BaseRates,2,FALSE)</f>
        <v/>
      </c>
      <c r="F34">
        <f>VLOOKUP(Policies!B34,BaseRates,3,FALSE)</f>
        <v/>
      </c>
      <c r="G34">
        <f>VLOOKUP(Policies!B34,BaseRates,4,FALSE)</f>
        <v/>
      </c>
      <c r="H34">
        <f>ROUND(E34*D34,2)</f>
        <v/>
      </c>
      <c r="I34">
        <f>INDEX(RateTables!$B$13:$B$16,MATCH(Policies!C34,RateTables!$A$13:$A$16,0))</f>
        <v/>
      </c>
      <c r="J34">
        <f>INDEX(RateTables!$C$13:$C$16,MATCH(Policies!C34,RateTables!$A$13:$A$16,0))</f>
        <v/>
      </c>
      <c r="K34">
        <f>INDEX(RateTables!$B$19:$C$28,MATCH(Policies!D34,RateTables!$A$19:$A$28,0),IF(Policies!C34="Frame",1,2))</f>
        <v/>
      </c>
      <c r="L34">
        <f>VLOOKUP(B34,AgeBands,2,TRUE)</f>
        <v/>
      </c>
      <c r="M34">
        <f>VLOOKUP(C34,RoofBands,2,TRUE)</f>
        <v/>
      </c>
      <c r="N34">
        <f>VLOOKUP(Policies!G34,AOIBands,2,TRUE)</f>
        <v/>
      </c>
      <c r="O34">
        <f>VLOOKUP(Policies!H34,RateTables!$A$31:$B$35,2,TRUE)</f>
        <v/>
      </c>
      <c r="P34">
        <f>VLOOKUP(MIN(Policies!L34,3),ClaimsTable,2,FALSE)</f>
        <v/>
      </c>
      <c r="Q34">
        <f>ROUND(H34*I34*K34*L34*M34*N34*O34*P34,2)</f>
        <v/>
      </c>
      <c r="R34">
        <f>IF(Policies!J34="Y",1,0)</f>
        <v/>
      </c>
      <c r="S34">
        <f>IF(AND(Policies!L34=0,B34&gt;=3),1,0)</f>
        <v/>
      </c>
      <c r="T34">
        <f>IF(B34&lt;=5,1,0)</f>
        <v/>
      </c>
      <c r="U34">
        <f>IF(Policies!K34="Basic",1,0)</f>
        <v/>
      </c>
      <c r="V34">
        <f>IF(Policies!K34="Fortified",1,0)</f>
        <v/>
      </c>
      <c r="W34">
        <f>SUMPRODUCT(R34:V34,CreditPcts)</f>
        <v/>
      </c>
      <c r="X34">
        <f>MIN(W34,CreditCap)</f>
        <v/>
      </c>
      <c r="Y34">
        <f>ROUND(Q34*(1-X34),2)</f>
        <v/>
      </c>
      <c r="Z34">
        <f>IF(Policies!I34="",0.02,Policies!I34)</f>
        <v/>
      </c>
      <c r="AA34">
        <f>IFERROR(VLOOKUP(Z34,HurrDedTable,2,FALSE),1)</f>
        <v/>
      </c>
      <c r="AB34">
        <f>IFERROR(INDEX(RateTables!$L$31:$L$33,MATCH(Policies!K34,RateTables!$K$31:$K$33,0)),1)</f>
        <v/>
      </c>
      <c r="AC34">
        <f>ROUND(F34*D34*J34*AA34*AB34,2)</f>
        <v/>
      </c>
      <c r="AD34">
        <f>MIN(AC34,Policies!G34*HurrCapPct)</f>
        <v/>
      </c>
      <c r="AE34">
        <f>Y34+AD34</f>
        <v/>
      </c>
      <c r="AF34" s="1">
        <f>EDATE(Policies!M34,Policies!N34)</f>
        <v/>
      </c>
      <c r="AG34">
        <f>ROUND(YEARFRAC(Policies!M34,AF34,3),4)</f>
        <v/>
      </c>
      <c r="AH34">
        <f>ROUND(AE34*AG34,2)</f>
        <v/>
      </c>
      <c r="AI34">
        <f>MAX(AH34,MinPremium)</f>
        <v/>
      </c>
      <c r="AJ34">
        <f>ROUNDUP(AI34,0)</f>
        <v/>
      </c>
      <c r="AK34">
        <f>VLOOKUP(Policies!N34,FeeTable,2,FALSE)</f>
        <v/>
      </c>
      <c r="AL34">
        <f>ROUND(AJ34*AssessRate,2)</f>
        <v/>
      </c>
      <c r="AM34">
        <f>ROUND((AJ34+AK34)*G34,2)</f>
        <v/>
      </c>
      <c r="AN34">
        <f>AJ34+AK34+AL34+AM34</f>
        <v/>
      </c>
      <c r="AO34">
        <f>IF(OR(Policies!G34&gt;1000000,C34&gt;20,Policies!L34&gt;=3),"REFER","OK")</f>
        <v/>
      </c>
      <c r="AP34">
        <f>ROUND(AH34/D34,3)</f>
        <v/>
      </c>
      <c r="AQ34">
        <f>Policies!B34&amp;"-"&amp;LEFT(Policies!C34,1)&amp;TEXT(Policies!D34,"00")</f>
        <v/>
      </c>
    </row>
    <row r="35">
      <c r="A35">
        <f>Policies!A35</f>
        <v/>
      </c>
      <c r="B35">
        <f>IFERROR(DATEDIF(DATE(Policies!E35,1,1),Policies!M35,"y"),0)</f>
        <v/>
      </c>
      <c r="C35">
        <f>Policies!F35*1</f>
        <v/>
      </c>
      <c r="D35">
        <f>Policies!G35/1000</f>
        <v/>
      </c>
      <c r="E35">
        <f>VLOOKUP(Policies!B35,BaseRates,2,FALSE)</f>
        <v/>
      </c>
      <c r="F35">
        <f>VLOOKUP(Policies!B35,BaseRates,3,FALSE)</f>
        <v/>
      </c>
      <c r="G35">
        <f>VLOOKUP(Policies!B35,BaseRates,4,FALSE)</f>
        <v/>
      </c>
      <c r="H35">
        <f>ROUND(E35*D35,2)</f>
        <v/>
      </c>
      <c r="I35">
        <f>INDEX(RateTables!$B$13:$B$16,MATCH(Policies!C35,RateTables!$A$13:$A$16,0))</f>
        <v/>
      </c>
      <c r="J35">
        <f>INDEX(RateTables!$C$13:$C$16,MATCH(Policies!C35,RateTables!$A$13:$A$16,0))</f>
        <v/>
      </c>
      <c r="K35">
        <f>INDEX(RateTables!$B$19:$C$28,MATCH(Policies!D35,RateTables!$A$19:$A$28,0),IF(Policies!C35="Frame",1,2))</f>
        <v/>
      </c>
      <c r="L35">
        <f>VLOOKUP(B35,AgeBands,2,TRUE)</f>
        <v/>
      </c>
      <c r="M35">
        <f>VLOOKUP(C35,RoofBands,2,TRUE)</f>
        <v/>
      </c>
      <c r="N35">
        <f>VLOOKUP(Policies!G35,AOIBands,2,TRUE)</f>
        <v/>
      </c>
      <c r="O35">
        <f>VLOOKUP(Policies!H35,RateTables!$A$31:$B$35,2,TRUE)</f>
        <v/>
      </c>
      <c r="P35">
        <f>VLOOKUP(MIN(Policies!L35,3),ClaimsTable,2,FALSE)</f>
        <v/>
      </c>
      <c r="Q35">
        <f>ROUND(H35*I35*K35*L35*M35*N35*O35*P35,2)</f>
        <v/>
      </c>
      <c r="R35">
        <f>IF(Policies!J35="Y",1,0)</f>
        <v/>
      </c>
      <c r="S35">
        <f>IF(AND(Policies!L35=0,B35&gt;=3),1,0)</f>
        <v/>
      </c>
      <c r="T35">
        <f>IF(B35&lt;=5,1,0)</f>
        <v/>
      </c>
      <c r="U35">
        <f>IF(Policies!K35="Basic",1,0)</f>
        <v/>
      </c>
      <c r="V35">
        <f>IF(Policies!K35="Fortified",1,0)</f>
        <v/>
      </c>
      <c r="W35">
        <f>SUMPRODUCT(R35:V35,CreditPcts)</f>
        <v/>
      </c>
      <c r="X35">
        <f>MIN(W35,CreditCap)</f>
        <v/>
      </c>
      <c r="Y35">
        <f>ROUND(Q35*(1-X35),2)</f>
        <v/>
      </c>
      <c r="Z35">
        <f>IF(Policies!I35="",0.02,Policies!I35)</f>
        <v/>
      </c>
      <c r="AA35">
        <f>IFERROR(VLOOKUP(Z35,HurrDedTable,2,FALSE),1)</f>
        <v/>
      </c>
      <c r="AB35">
        <f>IFERROR(INDEX(RateTables!$L$31:$L$33,MATCH(Policies!K35,RateTables!$K$31:$K$33,0)),1)</f>
        <v/>
      </c>
      <c r="AC35">
        <f>ROUND(F35*D35*J35*AA35*AB35,2)</f>
        <v/>
      </c>
      <c r="AD35">
        <f>MIN(AC35,Policies!G35*HurrCapPct)</f>
        <v/>
      </c>
      <c r="AE35">
        <f>Y35+AD35</f>
        <v/>
      </c>
      <c r="AF35" s="1">
        <f>EDATE(Policies!M35,Policies!N35)</f>
        <v/>
      </c>
      <c r="AG35">
        <f>ROUND(YEARFRAC(Policies!M35,AF35,3),4)</f>
        <v/>
      </c>
      <c r="AH35">
        <f>ROUND(AE35*AG35,2)</f>
        <v/>
      </c>
      <c r="AI35">
        <f>MAX(AH35,MinPremium)</f>
        <v/>
      </c>
      <c r="AJ35">
        <f>ROUNDUP(AI35,0)</f>
        <v/>
      </c>
      <c r="AK35">
        <f>VLOOKUP(Policies!N35,FeeTable,2,FALSE)</f>
        <v/>
      </c>
      <c r="AL35">
        <f>ROUND(AJ35*AssessRate,2)</f>
        <v/>
      </c>
      <c r="AM35">
        <f>ROUND((AJ35+AK35)*G35,2)</f>
        <v/>
      </c>
      <c r="AN35">
        <f>AJ35+AK35+AL35+AM35</f>
        <v/>
      </c>
      <c r="AO35">
        <f>IF(OR(Policies!G35&gt;1000000,C35&gt;20,Policies!L35&gt;=3),"REFER","OK")</f>
        <v/>
      </c>
      <c r="AP35">
        <f>ROUND(AH35/D35,3)</f>
        <v/>
      </c>
      <c r="AQ35">
        <f>Policies!B35&amp;"-"&amp;LEFT(Policies!C35,1)&amp;TEXT(Policies!D35,"00")</f>
        <v/>
      </c>
    </row>
    <row r="36">
      <c r="A36">
        <f>Policies!A36</f>
        <v/>
      </c>
      <c r="B36">
        <f>IFERROR(DATEDIF(DATE(Policies!E36,1,1),Policies!M36,"y"),0)</f>
        <v/>
      </c>
      <c r="C36">
        <f>Policies!F36*1</f>
        <v/>
      </c>
      <c r="D36">
        <f>Policies!G36/1000</f>
        <v/>
      </c>
      <c r="E36">
        <f>VLOOKUP(Policies!B36,BaseRates,2,FALSE)</f>
        <v/>
      </c>
      <c r="F36">
        <f>VLOOKUP(Policies!B36,BaseRates,3,FALSE)</f>
        <v/>
      </c>
      <c r="G36">
        <f>VLOOKUP(Policies!B36,BaseRates,4,FALSE)</f>
        <v/>
      </c>
      <c r="H36">
        <f>ROUND(E36*D36,2)</f>
        <v/>
      </c>
      <c r="I36">
        <f>INDEX(RateTables!$B$13:$B$16,MATCH(Policies!C36,RateTables!$A$13:$A$16,0))</f>
        <v/>
      </c>
      <c r="J36">
        <f>INDEX(RateTables!$C$13:$C$16,MATCH(Policies!C36,RateTables!$A$13:$A$16,0))</f>
        <v/>
      </c>
      <c r="K36">
        <f>INDEX(RateTables!$B$19:$C$28,MATCH(Policies!D36,RateTables!$A$19:$A$28,0),IF(Policies!C36="Frame",1,2))</f>
        <v/>
      </c>
      <c r="L36">
        <f>VLOOKUP(B36,AgeBands,2,TRUE)</f>
        <v/>
      </c>
      <c r="M36">
        <f>VLOOKUP(C36,RoofBands,2,TRUE)</f>
        <v/>
      </c>
      <c r="N36">
        <f>VLOOKUP(Policies!G36,AOIBands,2,TRUE)</f>
        <v/>
      </c>
      <c r="O36">
        <f>VLOOKUP(Policies!H36,RateTables!$A$31:$B$35,2,TRUE)</f>
        <v/>
      </c>
      <c r="P36">
        <f>VLOOKUP(MIN(Policies!L36,3),ClaimsTable,2,FALSE)</f>
        <v/>
      </c>
      <c r="Q36">
        <f>ROUND(H36*I36*K36*L36*M36*N36*O36*P36,2)</f>
        <v/>
      </c>
      <c r="R36">
        <f>IF(Policies!J36="Y",1,0)</f>
        <v/>
      </c>
      <c r="S36">
        <f>IF(AND(Policies!L36=0,B36&gt;=3),1,0)</f>
        <v/>
      </c>
      <c r="T36">
        <f>IF(B36&lt;=5,1,0)</f>
        <v/>
      </c>
      <c r="U36">
        <f>IF(Policies!K36="Basic",1,0)</f>
        <v/>
      </c>
      <c r="V36">
        <f>IF(Policies!K36="Fortified",1,0)</f>
        <v/>
      </c>
      <c r="W36">
        <f>SUMPRODUCT(R36:V36,CreditPcts)</f>
        <v/>
      </c>
      <c r="X36">
        <f>MIN(W36,CreditCap)</f>
        <v/>
      </c>
      <c r="Y36">
        <f>ROUND(Q36*(1-X36),2)</f>
        <v/>
      </c>
      <c r="Z36">
        <f>IF(Policies!I36="",0.02,Policies!I36)</f>
        <v/>
      </c>
      <c r="AA36">
        <f>IFERROR(VLOOKUP(Z36,HurrDedTable,2,FALSE),1)</f>
        <v/>
      </c>
      <c r="AB36">
        <f>IFERROR(INDEX(RateTables!$L$31:$L$33,MATCH(Policies!K36,RateTables!$K$31:$K$33,0)),1)</f>
        <v/>
      </c>
      <c r="AC36">
        <f>ROUND(F36*D36*J36*AA36*AB36,2)</f>
        <v/>
      </c>
      <c r="AD36">
        <f>MIN(AC36,Policies!G36*HurrCapPct)</f>
        <v/>
      </c>
      <c r="AE36">
        <f>Y36+AD36</f>
        <v/>
      </c>
      <c r="AF36" s="1">
        <f>EDATE(Policies!M36,Policies!N36)</f>
        <v/>
      </c>
      <c r="AG36">
        <f>ROUND(YEARFRAC(Policies!M36,AF36,3),4)</f>
        <v/>
      </c>
      <c r="AH36">
        <f>ROUND(AE36*AG36,2)</f>
        <v/>
      </c>
      <c r="AI36">
        <f>MAX(AH36,MinPremium)</f>
        <v/>
      </c>
      <c r="AJ36">
        <f>ROUNDUP(AI36,0)</f>
        <v/>
      </c>
      <c r="AK36">
        <f>VLOOKUP(Policies!N36,FeeTable,2,FALSE)</f>
        <v/>
      </c>
      <c r="AL36">
        <f>ROUND(AJ36*AssessRate,2)</f>
        <v/>
      </c>
      <c r="AM36">
        <f>ROUND((AJ36+AK36)*G36,2)</f>
        <v/>
      </c>
      <c r="AN36">
        <f>AJ36+AK36+AL36+AM36</f>
        <v/>
      </c>
      <c r="AO36">
        <f>IF(OR(Policies!G36&gt;1000000,C36&gt;20,Policies!L36&gt;=3),"REFER","OK")</f>
        <v/>
      </c>
      <c r="AP36">
        <f>ROUND(AH36/D36,3)</f>
        <v/>
      </c>
      <c r="AQ36">
        <f>Policies!B36&amp;"-"&amp;LEFT(Policies!C36,1)&amp;TEXT(Policies!D36,"00")</f>
        <v/>
      </c>
    </row>
    <row r="37">
      <c r="A37">
        <f>Policies!A37</f>
        <v/>
      </c>
      <c r="B37">
        <f>IFERROR(DATEDIF(DATE(Policies!E37,1,1),Policies!M37,"y"),0)</f>
        <v/>
      </c>
      <c r="C37">
        <f>Policies!F37*1</f>
        <v/>
      </c>
      <c r="D37">
        <f>Policies!G37/1000</f>
        <v/>
      </c>
      <c r="E37">
        <f>VLOOKUP(Policies!B37,BaseRates,2,FALSE)</f>
        <v/>
      </c>
      <c r="F37">
        <f>VLOOKUP(Policies!B37,BaseRates,3,FALSE)</f>
        <v/>
      </c>
      <c r="G37">
        <f>VLOOKUP(Policies!B37,BaseRates,4,FALSE)</f>
        <v/>
      </c>
      <c r="H37">
        <f>ROUND(E37*D37,2)</f>
        <v/>
      </c>
      <c r="I37">
        <f>INDEX(RateTables!$B$13:$B$16,MATCH(Policies!C37,RateTables!$A$13:$A$16,0))</f>
        <v/>
      </c>
      <c r="J37">
        <f>INDEX(RateTables!$C$13:$C$16,MATCH(Policies!C37,RateTables!$A$13:$A$16,0))</f>
        <v/>
      </c>
      <c r="K37">
        <f>INDEX(RateTables!$B$19:$C$28,MATCH(Policies!D37,RateTables!$A$19:$A$28,0),IF(Policies!C37="Frame",1,2))</f>
        <v/>
      </c>
      <c r="L37">
        <f>VLOOKUP(B37,AgeBands,2,TRUE)</f>
        <v/>
      </c>
      <c r="M37">
        <f>VLOOKUP(C37,RoofBands,2,TRUE)</f>
        <v/>
      </c>
      <c r="N37">
        <f>VLOOKUP(Policies!G37,AOIBands,2,TRUE)</f>
        <v/>
      </c>
      <c r="O37">
        <f>VLOOKUP(Policies!H37,RateTables!$A$31:$B$35,2,TRUE)</f>
        <v/>
      </c>
      <c r="P37">
        <f>VLOOKUP(MIN(Policies!L37,3),ClaimsTable,2,FALSE)</f>
        <v/>
      </c>
      <c r="Q37">
        <f>ROUND(H37*I37*K37*L37*M37*N37*O37*P37,2)</f>
        <v/>
      </c>
      <c r="R37">
        <f>IF(Policies!J37="Y",1,0)</f>
        <v/>
      </c>
      <c r="S37">
        <f>IF(AND(Policies!L37=0,B37&gt;=3),1,0)</f>
        <v/>
      </c>
      <c r="T37">
        <f>IF(B37&lt;=5,1,0)</f>
        <v/>
      </c>
      <c r="U37">
        <f>IF(Policies!K37="Basic",1,0)</f>
        <v/>
      </c>
      <c r="V37">
        <f>IF(Policies!K37="Fortified",1,0)</f>
        <v/>
      </c>
      <c r="W37">
        <f>SUMPRODUCT(R37:V37,CreditPcts)</f>
        <v/>
      </c>
      <c r="X37">
        <f>MIN(W37,CreditCap)</f>
        <v/>
      </c>
      <c r="Y37">
        <f>ROUND(Q37*(1-X37),2)</f>
        <v/>
      </c>
      <c r="Z37">
        <f>IF(Policies!I37="",0.02,Policies!I37)</f>
        <v/>
      </c>
      <c r="AA37">
        <f>IFERROR(VLOOKUP(Z37,HurrDedTable,2,FALSE),1)</f>
        <v/>
      </c>
      <c r="AB37">
        <f>IFERROR(INDEX(RateTables!$L$31:$L$33,MATCH(Policies!K37,RateTables!$K$31:$K$33,0)),1)</f>
        <v/>
      </c>
      <c r="AC37">
        <f>ROUND(F37*D37*J37*AA37*AB37,2)</f>
        <v/>
      </c>
      <c r="AD37">
        <f>MIN(AC37,Policies!G37*HurrCapPct)</f>
        <v/>
      </c>
      <c r="AE37">
        <f>Y37+AD37</f>
        <v/>
      </c>
      <c r="AF37" s="1">
        <f>EDATE(Policies!M37,Policies!N37)</f>
        <v/>
      </c>
      <c r="AG37">
        <f>ROUND(YEARFRAC(Policies!M37,AF37,3),4)</f>
        <v/>
      </c>
      <c r="AH37">
        <f>ROUND(AE37*AG37,2)</f>
        <v/>
      </c>
      <c r="AI37">
        <f>MAX(AH37,MinPremium)</f>
        <v/>
      </c>
      <c r="AJ37">
        <f>ROUNDUP(AI37,0)</f>
        <v/>
      </c>
      <c r="AK37">
        <f>VLOOKUP(Policies!N37,FeeTable,2,FALSE)</f>
        <v/>
      </c>
      <c r="AL37">
        <f>ROUND(AJ37*AssessRate,2)</f>
        <v/>
      </c>
      <c r="AM37">
        <f>ROUND((AJ37+AK37)*G37,2)</f>
        <v/>
      </c>
      <c r="AN37">
        <f>AJ37+AK37+AL37+AM37</f>
        <v/>
      </c>
      <c r="AO37">
        <f>IF(OR(Policies!G37&gt;1000000,C37&gt;20,Policies!L37&gt;=3),"REFER","OK")</f>
        <v/>
      </c>
      <c r="AP37">
        <f>ROUND(AH37/D37,3)</f>
        <v/>
      </c>
      <c r="AQ37">
        <f>Policies!B37&amp;"-"&amp;LEFT(Policies!C37,1)&amp;TEXT(Policies!D37,"00")</f>
        <v/>
      </c>
    </row>
    <row r="38">
      <c r="A38">
        <f>Policies!A38</f>
        <v/>
      </c>
      <c r="B38">
        <f>IFERROR(DATEDIF(DATE(Policies!E38,1,1),Policies!M38,"y"),0)</f>
        <v/>
      </c>
      <c r="C38">
        <f>Policies!F38*1</f>
        <v/>
      </c>
      <c r="D38">
        <f>Policies!G38/1000</f>
        <v/>
      </c>
      <c r="E38">
        <f>VLOOKUP(Policies!B38,BaseRates,2,FALSE)</f>
        <v/>
      </c>
      <c r="F38">
        <f>VLOOKUP(Policies!B38,BaseRates,3,FALSE)</f>
        <v/>
      </c>
      <c r="G38">
        <f>VLOOKUP(Policies!B38,BaseRates,4,FALSE)</f>
        <v/>
      </c>
      <c r="H38">
        <f>ROUND(E38*D38,2)</f>
        <v/>
      </c>
      <c r="I38">
        <f>INDEX(RateTables!$B$13:$B$16,MATCH(Policies!C38,RateTables!$A$13:$A$16,0))</f>
        <v/>
      </c>
      <c r="J38">
        <f>INDEX(RateTables!$C$13:$C$16,MATCH(Policies!C38,RateTables!$A$13:$A$16,0))</f>
        <v/>
      </c>
      <c r="K38">
        <f>INDEX(RateTables!$B$19:$C$28,MATCH(Policies!D38,RateTables!$A$19:$A$28,0),IF(Policies!C38="Frame",1,2))</f>
        <v/>
      </c>
      <c r="L38">
        <f>VLOOKUP(B38,AgeBands,2,TRUE)</f>
        <v/>
      </c>
      <c r="M38">
        <f>VLOOKUP(C38,RoofBands,2,TRUE)</f>
        <v/>
      </c>
      <c r="N38">
        <f>VLOOKUP(Policies!G38,AOIBands,2,TRUE)</f>
        <v/>
      </c>
      <c r="O38">
        <f>VLOOKUP(Policies!H38,RateTables!$A$31:$B$35,2,TRUE)</f>
        <v/>
      </c>
      <c r="P38">
        <f>VLOOKUP(MIN(Policies!L38,3),ClaimsTable,2,FALSE)</f>
        <v/>
      </c>
      <c r="Q38">
        <f>ROUND(H38*I38*K38*L38*M38*N38*O38*P38,2)</f>
        <v/>
      </c>
      <c r="R38">
        <f>IF(Policies!J38="Y",1,0)</f>
        <v/>
      </c>
      <c r="S38">
        <f>IF(AND(Policies!L38=0,B38&gt;=3),1,0)</f>
        <v/>
      </c>
      <c r="T38">
        <f>IF(B38&lt;=5,1,0)</f>
        <v/>
      </c>
      <c r="U38">
        <f>IF(Policies!K38="Basic",1,0)</f>
        <v/>
      </c>
      <c r="V38">
        <f>IF(Policies!K38="Fortified",1,0)</f>
        <v/>
      </c>
      <c r="W38">
        <f>SUMPRODUCT(R38:V38,CreditPcts)</f>
        <v/>
      </c>
      <c r="X38">
        <f>MIN(W38,CreditCap)</f>
        <v/>
      </c>
      <c r="Y38">
        <f>ROUND(Q38*(1-X38),2)</f>
        <v/>
      </c>
      <c r="Z38">
        <f>IF(Policies!I38="",0.02,Policies!I38)</f>
        <v/>
      </c>
      <c r="AA38">
        <f>IFERROR(VLOOKUP(Z38,HurrDedTable,2,FALSE),1)</f>
        <v/>
      </c>
      <c r="AB38">
        <f>IFERROR(INDEX(RateTables!$L$31:$L$33,MATCH(Policies!K38,RateTables!$K$31:$K$33,0)),1)</f>
        <v/>
      </c>
      <c r="AC38">
        <f>ROUND(F38*D38*J38*AA38*AB38,2)</f>
        <v/>
      </c>
      <c r="AD38">
        <f>MIN(AC38,Policies!G38*HurrCapPct)</f>
        <v/>
      </c>
      <c r="AE38">
        <f>Y38+AD38</f>
        <v/>
      </c>
      <c r="AF38" s="1">
        <f>EDATE(Policies!M38,Policies!N38)</f>
        <v/>
      </c>
      <c r="AG38">
        <f>ROUND(YEARFRAC(Policies!M38,AF38,3),4)</f>
        <v/>
      </c>
      <c r="AH38">
        <f>ROUND(AE38*AG38,2)</f>
        <v/>
      </c>
      <c r="AI38">
        <f>MAX(AH38,MinPremium)</f>
        <v/>
      </c>
      <c r="AJ38">
        <f>ROUNDUP(AI38,0)</f>
        <v/>
      </c>
      <c r="AK38">
        <f>VLOOKUP(Policies!N38,FeeTable,2,FALSE)</f>
        <v/>
      </c>
      <c r="AL38">
        <f>ROUND(AJ38*AssessRate,2)</f>
        <v/>
      </c>
      <c r="AM38">
        <f>ROUND((AJ38+AK38)*G38,2)</f>
        <v/>
      </c>
      <c r="AN38">
        <f>AJ38+AK38+AL38+AM38</f>
        <v/>
      </c>
      <c r="AO38">
        <f>IF(OR(Policies!G38&gt;1000000,C38&gt;20,Policies!L38&gt;=3),"REFER","OK")</f>
        <v/>
      </c>
      <c r="AP38">
        <f>ROUND(AH38/D38,3)</f>
        <v/>
      </c>
      <c r="AQ38">
        <f>Policies!B38&amp;"-"&amp;LEFT(Policies!C38,1)&amp;TEXT(Policies!D38,"00")</f>
        <v/>
      </c>
    </row>
    <row r="39">
      <c r="A39">
        <f>Policies!A39</f>
        <v/>
      </c>
      <c r="B39">
        <f>IFERROR(DATEDIF(DATE(Policies!E39,1,1),Policies!M39,"y"),0)</f>
        <v/>
      </c>
      <c r="C39">
        <f>Policies!F39*1</f>
        <v/>
      </c>
      <c r="D39">
        <f>Policies!G39/1000</f>
        <v/>
      </c>
      <c r="E39">
        <f>VLOOKUP(Policies!B39,BaseRates,2,FALSE)</f>
        <v/>
      </c>
      <c r="F39">
        <f>VLOOKUP(Policies!B39,BaseRates,3,FALSE)</f>
        <v/>
      </c>
      <c r="G39">
        <f>VLOOKUP(Policies!B39,BaseRates,4,FALSE)</f>
        <v/>
      </c>
      <c r="H39">
        <f>ROUND(E39*D39,2)</f>
        <v/>
      </c>
      <c r="I39">
        <f>INDEX(RateTables!$B$13:$B$16,MATCH(Policies!C39,RateTables!$A$13:$A$16,0))</f>
        <v/>
      </c>
      <c r="J39">
        <f>INDEX(RateTables!$C$13:$C$16,MATCH(Policies!C39,RateTables!$A$13:$A$16,0))</f>
        <v/>
      </c>
      <c r="K39">
        <f>INDEX(RateTables!$B$19:$C$28,MATCH(Policies!D39,RateTables!$A$19:$A$28,0),IF(Policies!C39="Frame",1,2))</f>
        <v/>
      </c>
      <c r="L39">
        <f>VLOOKUP(B39,AgeBands,2,TRUE)</f>
        <v/>
      </c>
      <c r="M39">
        <f>VLOOKUP(C39,RoofBands,2,TRUE)</f>
        <v/>
      </c>
      <c r="N39">
        <f>VLOOKUP(Policies!G39,AOIBands,2,TRUE)</f>
        <v/>
      </c>
      <c r="O39">
        <f>VLOOKUP(Policies!H39,RateTables!$A$31:$B$35,2,TRUE)</f>
        <v/>
      </c>
      <c r="P39">
        <f>VLOOKUP(MIN(Policies!L39,3),ClaimsTable,2,FALSE)</f>
        <v/>
      </c>
      <c r="Q39">
        <f>ROUND(H39*I39*K39*L39*M39*N39*O39*P39,2)</f>
        <v/>
      </c>
      <c r="R39">
        <f>IF(Policies!J39="Y",1,0)</f>
        <v/>
      </c>
      <c r="S39">
        <f>IF(AND(Policies!L39=0,B39&gt;=3),1,0)</f>
        <v/>
      </c>
      <c r="T39">
        <f>IF(B39&lt;=5,1,0)</f>
        <v/>
      </c>
      <c r="U39">
        <f>IF(Policies!K39="Basic",1,0)</f>
        <v/>
      </c>
      <c r="V39">
        <f>IF(Policies!K39="Fortified",1,0)</f>
        <v/>
      </c>
      <c r="W39">
        <f>SUMPRODUCT(R39:V39,CreditPcts)</f>
        <v/>
      </c>
      <c r="X39">
        <f>MIN(W39,CreditCap)</f>
        <v/>
      </c>
      <c r="Y39">
        <f>ROUND(Q39*(1-X39),2)</f>
        <v/>
      </c>
      <c r="Z39">
        <f>IF(Policies!I39="",0.02,Policies!I39)</f>
        <v/>
      </c>
      <c r="AA39">
        <f>IFERROR(VLOOKUP(Z39,HurrDedTable,2,FALSE),1)</f>
        <v/>
      </c>
      <c r="AB39">
        <f>IFERROR(INDEX(RateTables!$L$31:$L$33,MATCH(Policies!K39,RateTables!$K$31:$K$33,0)),1)</f>
        <v/>
      </c>
      <c r="AC39">
        <f>ROUND(F39*D39*J39*AA39*AB39,2)</f>
        <v/>
      </c>
      <c r="AD39">
        <f>MIN(AC39,Policies!G39*HurrCapPct)</f>
        <v/>
      </c>
      <c r="AE39">
        <f>Y39+AD39</f>
        <v/>
      </c>
      <c r="AF39" s="1">
        <f>EDATE(Policies!M39,Policies!N39)</f>
        <v/>
      </c>
      <c r="AG39">
        <f>ROUND(YEARFRAC(Policies!M39,AF39,3),4)</f>
        <v/>
      </c>
      <c r="AH39">
        <f>ROUND(AE39*AG39,2)</f>
        <v/>
      </c>
      <c r="AI39">
        <f>MAX(AH39,MinPremium)</f>
        <v/>
      </c>
      <c r="AJ39">
        <f>ROUNDUP(AI39,0)</f>
        <v/>
      </c>
      <c r="AK39">
        <f>VLOOKUP(Policies!N39,FeeTable,2,FALSE)</f>
        <v/>
      </c>
      <c r="AL39">
        <f>ROUND(AJ39*AssessRate,2)</f>
        <v/>
      </c>
      <c r="AM39">
        <f>ROUND((AJ39+AK39)*G39,2)</f>
        <v/>
      </c>
      <c r="AN39">
        <f>AJ39+AK39+AL39+AM39</f>
        <v/>
      </c>
      <c r="AO39">
        <f>IF(OR(Policies!G39&gt;1000000,C39&gt;20,Policies!L39&gt;=3),"REFER","OK")</f>
        <v/>
      </c>
      <c r="AP39">
        <f>ROUND(AH39/D39,3)</f>
        <v/>
      </c>
      <c r="AQ39">
        <f>Policies!B39&amp;"-"&amp;LEFT(Policies!C39,1)&amp;TEXT(Policies!D39,"00")</f>
        <v/>
      </c>
    </row>
    <row r="40">
      <c r="A40">
        <f>Policies!A40</f>
        <v/>
      </c>
      <c r="B40">
        <f>IFERROR(DATEDIF(DATE(Policies!E40,1,1),Policies!M40,"y"),0)</f>
        <v/>
      </c>
      <c r="C40">
        <f>Policies!F40*1</f>
        <v/>
      </c>
      <c r="D40">
        <f>Policies!G40/1000</f>
        <v/>
      </c>
      <c r="E40">
        <f>VLOOKUP(Policies!B40,BaseRates,2,FALSE)</f>
        <v/>
      </c>
      <c r="F40">
        <f>VLOOKUP(Policies!B40,BaseRates,3,FALSE)</f>
        <v/>
      </c>
      <c r="G40">
        <f>VLOOKUP(Policies!B40,BaseRates,4,FALSE)</f>
        <v/>
      </c>
      <c r="H40">
        <f>ROUND(E40*D40,2)</f>
        <v/>
      </c>
      <c r="I40">
        <f>INDEX(RateTables!$B$13:$B$16,MATCH(Policies!C40,RateTables!$A$13:$A$16,0))</f>
        <v/>
      </c>
      <c r="J40">
        <f>INDEX(RateTables!$C$13:$C$16,MATCH(Policies!C40,RateTables!$A$13:$A$16,0))</f>
        <v/>
      </c>
      <c r="K40">
        <f>INDEX(RateTables!$B$19:$C$28,MATCH(Policies!D40,RateTables!$A$19:$A$28,0),IF(Policies!C40="Frame",1,2))</f>
        <v/>
      </c>
      <c r="L40">
        <f>VLOOKUP(B40,AgeBands,2,TRUE)</f>
        <v/>
      </c>
      <c r="M40">
        <f>VLOOKUP(C40,RoofBands,2,TRUE)</f>
        <v/>
      </c>
      <c r="N40">
        <f>VLOOKUP(Policies!G40,AOIBands,2,TRUE)</f>
        <v/>
      </c>
      <c r="O40">
        <f>VLOOKUP(Policies!H40,RateTables!$A$31:$B$35,2,TRUE)</f>
        <v/>
      </c>
      <c r="P40">
        <f>VLOOKUP(MIN(Policies!L40,3),ClaimsTable,2,FALSE)</f>
        <v/>
      </c>
      <c r="Q40">
        <f>ROUND(H40*I40*K40*L40*M40*N40*O40*P40,2)</f>
        <v/>
      </c>
      <c r="R40">
        <f>IF(Policies!J40="Y",1,0)</f>
        <v/>
      </c>
      <c r="S40">
        <f>IF(AND(Policies!L40=0,B40&gt;=3),1,0)</f>
        <v/>
      </c>
      <c r="T40">
        <f>IF(B40&lt;=5,1,0)</f>
        <v/>
      </c>
      <c r="U40">
        <f>IF(Policies!K40="Basic",1,0)</f>
        <v/>
      </c>
      <c r="V40">
        <f>IF(Policies!K40="Fortified",1,0)</f>
        <v/>
      </c>
      <c r="W40">
        <f>SUMPRODUCT(R40:V40,CreditPcts)</f>
        <v/>
      </c>
      <c r="X40">
        <f>MIN(W40,CreditCap)</f>
        <v/>
      </c>
      <c r="Y40">
        <f>ROUND(Q40*(1-X40),2)</f>
        <v/>
      </c>
      <c r="Z40">
        <f>IF(Policies!I40="",0.02,Policies!I40)</f>
        <v/>
      </c>
      <c r="AA40">
        <f>IFERROR(VLOOKUP(Z40,HurrDedTable,2,FALSE),1)</f>
        <v/>
      </c>
      <c r="AB40">
        <f>IFERROR(INDEX(RateTables!$L$31:$L$33,MATCH(Policies!K40,RateTables!$K$31:$K$33,0)),1)</f>
        <v/>
      </c>
      <c r="AC40">
        <f>ROUND(F40*D40*J40*AA40*AB40,2)</f>
        <v/>
      </c>
      <c r="AD40">
        <f>MIN(AC40,Policies!G40*HurrCapPct)</f>
        <v/>
      </c>
      <c r="AE40">
        <f>Y40+AD40</f>
        <v/>
      </c>
      <c r="AF40" s="1">
        <f>EDATE(Policies!M40,Policies!N40)</f>
        <v/>
      </c>
      <c r="AG40">
        <f>ROUND(YEARFRAC(Policies!M40,AF40,3),4)</f>
        <v/>
      </c>
      <c r="AH40">
        <f>ROUND(AE40*AG40,2)</f>
        <v/>
      </c>
      <c r="AI40">
        <f>MAX(AH40,MinPremium)</f>
        <v/>
      </c>
      <c r="AJ40">
        <f>ROUNDUP(AI40,0)</f>
        <v/>
      </c>
      <c r="AK40">
        <f>VLOOKUP(Policies!N40,FeeTable,2,FALSE)</f>
        <v/>
      </c>
      <c r="AL40">
        <f>ROUND(AJ40*AssessRate,2)</f>
        <v/>
      </c>
      <c r="AM40">
        <f>ROUND((AJ40+AK40)*G40,2)</f>
        <v/>
      </c>
      <c r="AN40">
        <f>AJ40+AK40+AL40+AM40</f>
        <v/>
      </c>
      <c r="AO40">
        <f>IF(OR(Policies!G40&gt;1000000,C40&gt;20,Policies!L40&gt;=3),"REFER","OK")</f>
        <v/>
      </c>
      <c r="AP40">
        <f>ROUND(AH40/D40,3)</f>
        <v/>
      </c>
      <c r="AQ40">
        <f>Policies!B40&amp;"-"&amp;LEFT(Policies!C40,1)&amp;TEXT(Policies!D40,"00")</f>
        <v/>
      </c>
    </row>
    <row r="41">
      <c r="A41">
        <f>Policies!A41</f>
        <v/>
      </c>
      <c r="B41">
        <f>IFERROR(DATEDIF(DATE(Policies!E41,1,1),Policies!M41,"y"),0)</f>
        <v/>
      </c>
      <c r="C41">
        <f>Policies!F41*1</f>
        <v/>
      </c>
      <c r="D41">
        <f>Policies!G41/1000</f>
        <v/>
      </c>
      <c r="E41">
        <f>VLOOKUP(Policies!B41,BaseRates,2,FALSE)</f>
        <v/>
      </c>
      <c r="F41">
        <f>VLOOKUP(Policies!B41,BaseRates,3,FALSE)</f>
        <v/>
      </c>
      <c r="G41">
        <f>VLOOKUP(Policies!B41,BaseRates,4,FALSE)</f>
        <v/>
      </c>
      <c r="H41">
        <f>ROUND(E41*D41,2)</f>
        <v/>
      </c>
      <c r="I41">
        <f>INDEX(RateTables!$B$13:$B$16,MATCH(Policies!C41,RateTables!$A$13:$A$16,0))</f>
        <v/>
      </c>
      <c r="J41">
        <f>INDEX(RateTables!$C$13:$C$16,MATCH(Policies!C41,RateTables!$A$13:$A$16,0))</f>
        <v/>
      </c>
      <c r="K41">
        <f>INDEX(RateTables!$B$19:$C$28,MATCH(Policies!D41,RateTables!$A$19:$A$28,0),IF(Policies!C41="Frame",1,2))</f>
        <v/>
      </c>
      <c r="L41">
        <f>VLOOKUP(B41,AgeBands,2,TRUE)</f>
        <v/>
      </c>
      <c r="M41">
        <f>VLOOKUP(C41,RoofBands,2,TRUE)</f>
        <v/>
      </c>
      <c r="N41">
        <f>VLOOKUP(Policies!G41,AOIBands,2,TRUE)</f>
        <v/>
      </c>
      <c r="O41">
        <f>VLOOKUP(Policies!H41,RateTables!$A$31:$B$35,2,TRUE)</f>
        <v/>
      </c>
      <c r="P41">
        <f>VLOOKUP(MIN(Policies!L41,3),ClaimsTable,2,FALSE)</f>
        <v/>
      </c>
      <c r="Q41">
        <f>ROUND(H41*I41*K41*L41*M41*N41*O41*P41,2)</f>
        <v/>
      </c>
      <c r="R41">
        <f>IF(Policies!J41="Y",1,0)</f>
        <v/>
      </c>
      <c r="S41">
        <f>IF(AND(Policies!L41=0,B41&gt;=3),1,0)</f>
        <v/>
      </c>
      <c r="T41">
        <f>IF(B41&lt;=5,1,0)</f>
        <v/>
      </c>
      <c r="U41">
        <f>IF(Policies!K41="Basic",1,0)</f>
        <v/>
      </c>
      <c r="V41">
        <f>IF(Policies!K41="Fortified",1,0)</f>
        <v/>
      </c>
      <c r="W41">
        <f>SUMPRODUCT(R41:V41,CreditPcts)</f>
        <v/>
      </c>
      <c r="X41">
        <f>MIN(W41,CreditCap)</f>
        <v/>
      </c>
      <c r="Y41">
        <f>ROUND(Q41*(1-X41),2)</f>
        <v/>
      </c>
      <c r="Z41">
        <f>IF(Policies!I41="",0.02,Policies!I41)</f>
        <v/>
      </c>
      <c r="AA41">
        <f>IFERROR(VLOOKUP(Z41,HurrDedTable,2,FALSE),1)</f>
        <v/>
      </c>
      <c r="AB41">
        <f>IFERROR(INDEX(RateTables!$L$31:$L$33,MATCH(Policies!K41,RateTables!$K$31:$K$33,0)),1)</f>
        <v/>
      </c>
      <c r="AC41">
        <f>ROUND(F41*D41*J41*AA41*AB41,2)</f>
        <v/>
      </c>
      <c r="AD41">
        <f>MIN(AC41,Policies!G41*HurrCapPct)</f>
        <v/>
      </c>
      <c r="AE41">
        <f>Y41+AD41</f>
        <v/>
      </c>
      <c r="AF41" s="1">
        <f>EDATE(Policies!M41,Policies!N41)</f>
        <v/>
      </c>
      <c r="AG41">
        <f>ROUND(YEARFRAC(Policies!M41,AF41,3),4)</f>
        <v/>
      </c>
      <c r="AH41">
        <f>ROUND(AE41*AG41,2)</f>
        <v/>
      </c>
      <c r="AI41">
        <f>MAX(AH41,MinPremium)</f>
        <v/>
      </c>
      <c r="AJ41">
        <f>ROUNDUP(AI41,0)</f>
        <v/>
      </c>
      <c r="AK41">
        <f>VLOOKUP(Policies!N41,FeeTable,2,FALSE)</f>
        <v/>
      </c>
      <c r="AL41">
        <f>ROUND(AJ41*AssessRate,2)</f>
        <v/>
      </c>
      <c r="AM41">
        <f>ROUND((AJ41+AK41)*G41,2)</f>
        <v/>
      </c>
      <c r="AN41">
        <f>AJ41+AK41+AL41+AM41</f>
        <v/>
      </c>
      <c r="AO41">
        <f>IF(OR(Policies!G41&gt;1000000,C41&gt;20,Policies!L41&gt;=3),"REFER","OK")</f>
        <v/>
      </c>
      <c r="AP41">
        <f>ROUND(AH41/D41,3)</f>
        <v/>
      </c>
      <c r="AQ41">
        <f>Policies!B41&amp;"-"&amp;LEFT(Policies!C41,1)&amp;TEXT(Policies!D41,"00")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— all names, rates and rules invented for a software demonstration</t>
        </is>
      </c>
    </row>
    <row r="2">
      <c r="A2" t="inlineStr">
        <is>
          <t>Policies</t>
        </is>
      </c>
      <c r="B2">
        <f>COUNTA(Calc!A2:A41)</f>
        <v/>
      </c>
    </row>
    <row r="3">
      <c r="A3" t="inlineStr">
        <is>
          <t>Written premium</t>
        </is>
      </c>
      <c r="B3">
        <f>SUM(Calc!AJ2:AJ41)</f>
        <v/>
      </c>
    </row>
    <row r="4">
      <c r="A4" t="inlineStr">
        <is>
          <t>Total due</t>
        </is>
      </c>
      <c r="B4">
        <f>SUM(Calc!AN2:AN41)</f>
        <v/>
      </c>
    </row>
    <row r="5">
      <c r="A5" t="inlineStr">
        <is>
          <t>Avg rate/1000</t>
        </is>
      </c>
      <c r="B5">
        <f>AVERAGE(Calc!AP2:AP41)</f>
        <v/>
      </c>
    </row>
    <row r="6">
      <c r="A6" t="inlineStr">
        <is>
          <t>Hurricane share</t>
        </is>
      </c>
      <c r="B6">
        <f>SUMPRODUCT(Calc!AD2:AD41)/SUM(Calc!AE2:AE41)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FICTIONAL — all names, rates and rules invented for a software demonstration</t>
        </is>
      </c>
    </row>
    <row r="3">
      <c r="A3" t="inlineStr">
        <is>
          <t>Carrier</t>
        </is>
      </c>
      <c r="B3" t="inlineStr">
        <is>
          <t>Example Mutual Insurance Co. (FICTIONAL)</t>
        </is>
      </c>
    </row>
    <row r="4">
      <c r="A4" t="inlineStr">
        <is>
          <t>Product</t>
        </is>
      </c>
      <c r="B4" t="inlineStr">
        <is>
          <t>Homeowners HO-3 rating workbook (synthetic demonstration)</t>
        </is>
      </c>
    </row>
    <row r="5">
      <c r="A5" t="inlineStr">
        <is>
          <t>Generated by</t>
        </is>
      </c>
      <c r="B5" t="inlineStr">
        <is>
          <t>tools/gen_workbook.py --n 40 --seed 2026</t>
        </is>
      </c>
    </row>
    <row r="6">
      <c r="A6" t="inlineStr">
        <is>
          <t>Layout</t>
        </is>
      </c>
      <c r="B6" t="inlineStr">
        <is>
          <t>Policies rows 2-41; Calc formula columns A:AQ rows 2-41; Summary B2:B6</t>
        </is>
      </c>
    </row>
    <row r="7">
      <c r="A7" t="inlineStr">
        <is>
          <t>Disclosure</t>
        </is>
      </c>
      <c r="B7" t="inlineStr">
        <is>
          <t>Contains deliberately seeded spreadsheet anomalies for the demonstration (see docs/CONTRACT.md).</t>
        </is>
      </c>
    </row>
    <row r="8">
      <c r="A8" t="inlineStr">
        <is>
          <t>Personal data</t>
        </is>
      </c>
      <c r="B8" t="inlineStr">
        <is>
          <t>None. Policy IDs are synthetic; there are no names, addresses or contacts.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SheetShift tools/gen_workbook.py</dc:creator>
  <dc:title>Example Mutual Insurance Co. (FICTIONAL) HO-3 rater (synthetic)</dc:title>
  <dcterms:created xsi:type="dcterms:W3CDTF">2026-01-01T00:00:00Z</dcterms:created>
  <dcterms:modified xsi:type="dcterms:W3CDTF">2026-01-01T00:00:00Z</dcterms:modified>
</cp:coreProperties>
</file>