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RateTables" sheetId="2" state="visible" r:id="rId2"/>
    <sheet name="Calc" sheetId="3" state="visible" r:id="rId3"/>
    <sheet name="Summary" sheetId="4" state="visible" r:id="rId4"/>
    <sheet name="About" sheetId="5" state="visible" r:id="rId5"/>
  </sheets>
  <definedNames>
    <definedName name="BaseRates">RateTables!$A$3:$D$10</definedName>
    <definedName name="AgeBands">RateTables!$E$12:$F$18</definedName>
    <definedName name="RoofBands">RateTables!$H$12:$I$16</definedName>
    <definedName name="AOIBands">RateTables!$K$12:$L$18</definedName>
    <definedName name="DedBands">RateTables!$A$31:$B$36</definedName>
    <definedName name="ClaimsTable">RateTables!$E$31:$F$34</definedName>
    <definedName name="HurrDedTable">RateTables!$H$31:$I$33</definedName>
    <definedName name="FeeTable">RateTables!$N$31:$O$32</definedName>
    <definedName name="CreditPcts">RateTables!$B$40:$F$40</definedName>
    <definedName name="CreditCap">RateTables!$B$42</definedName>
    <definedName name="MinPremium">RateTables!$B$43</definedName>
    <definedName name="AssessRate">RateTables!$B$44</definedName>
    <definedName name="HurrCapPct">RateTables!$B$45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SheetShift</author>
  </authors>
  <commentList>
    <comment ref="A1" authorId="0" shapeId="0">
      <text>
        <t>FICTIONAL — all names, rates and rules invented for a software demonstration</t>
      </text>
    </comment>
  </commentList>
</comments>
</file>

<file path=xl/comments/comment2.xml><?xml version="1.0" encoding="utf-8"?>
<comments xmlns="http://schemas.openxmlformats.org/spreadsheetml/2006/main">
  <authors>
    <author>SheetShift</author>
  </authors>
  <commentList>
    <comment ref="A1" authorId="0" shapeId="0">
      <text>
        <t>FICTIONAL — all names, rates and rules invented for a software demonstration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zone</t>
        </is>
      </c>
      <c r="C1" t="inlineStr">
        <is>
          <t>construction</t>
        </is>
      </c>
      <c r="D1" t="inlineStr">
        <is>
          <t>protection_class</t>
        </is>
      </c>
      <c r="E1" t="inlineStr">
        <is>
          <t>year_built</t>
        </is>
      </c>
      <c r="F1" t="inlineStr">
        <is>
          <t>roof_age</t>
        </is>
      </c>
      <c r="G1" t="inlineStr">
        <is>
          <t>coverage_a</t>
        </is>
      </c>
      <c r="H1" t="inlineStr">
        <is>
          <t>deductible</t>
        </is>
      </c>
      <c r="I1" t="inlineStr">
        <is>
          <t>hurr_ded_pct</t>
        </is>
      </c>
      <c r="J1" t="inlineStr">
        <is>
          <t>alarm</t>
        </is>
      </c>
      <c r="K1" t="inlineStr">
        <is>
          <t>wind_mit</t>
        </is>
      </c>
      <c r="L1" t="inlineStr">
        <is>
          <t>claims_3yr</t>
        </is>
      </c>
      <c r="M1" t="inlineStr">
        <is>
          <t>effective_date</t>
        </is>
      </c>
      <c r="N1" t="inlineStr">
        <is>
          <t>term_months</t>
        </is>
      </c>
    </row>
    <row r="2">
      <c r="A2" t="inlineStr">
        <is>
          <t>HO-000001</t>
        </is>
      </c>
      <c r="B2" t="inlineStr">
        <is>
          <t>T08</t>
        </is>
      </c>
      <c r="C2" t="inlineStr">
        <is>
          <t>FireResistive</t>
        </is>
      </c>
      <c r="D2" t="n">
        <v>9</v>
      </c>
      <c r="E2" t="n">
        <v>1958</v>
      </c>
      <c r="F2" t="n">
        <v>26</v>
      </c>
      <c r="G2" t="n">
        <v>1282793</v>
      </c>
      <c r="H2" t="n">
        <v>0</v>
      </c>
      <c r="I2" t="n">
        <v>0.03</v>
      </c>
      <c r="J2" t="inlineStr">
        <is>
          <t>Y</t>
        </is>
      </c>
      <c r="K2" t="inlineStr">
        <is>
          <t>fortified</t>
        </is>
      </c>
      <c r="L2" t="n">
        <v>0</v>
      </c>
      <c r="M2" s="1" t="n">
        <v>46458</v>
      </c>
      <c r="N2" t="n">
        <v>12</v>
      </c>
    </row>
    <row r="3">
      <c r="A3" t="inlineStr">
        <is>
          <t>HO-000002</t>
        </is>
      </c>
      <c r="B3" t="inlineStr">
        <is>
          <t>T01</t>
        </is>
      </c>
      <c r="C3" t="inlineStr">
        <is>
          <t>Frame</t>
        </is>
      </c>
      <c r="D3" t="n">
        <v>10</v>
      </c>
      <c r="E3" t="n">
        <v>1979</v>
      </c>
      <c r="F3" t="n">
        <v>14</v>
      </c>
      <c r="G3" t="n">
        <v>391000</v>
      </c>
      <c r="H3" t="n">
        <v>499</v>
      </c>
      <c r="I3" t="n">
        <v>0.1</v>
      </c>
      <c r="J3" t="inlineStr">
        <is>
          <t>y</t>
        </is>
      </c>
      <c r="K3" t="inlineStr">
        <is>
          <t>fortified</t>
        </is>
      </c>
      <c r="L3" t="n">
        <v>1</v>
      </c>
      <c r="M3" s="1" t="n">
        <v>46860</v>
      </c>
      <c r="N3" t="n">
        <v>6</v>
      </c>
    </row>
    <row r="4">
      <c r="A4" t="inlineStr">
        <is>
          <t>HO-000003</t>
        </is>
      </c>
      <c r="B4" t="inlineStr">
        <is>
          <t>T05</t>
        </is>
      </c>
      <c r="C4" t="inlineStr">
        <is>
          <t>FireResistive</t>
        </is>
      </c>
      <c r="D4" t="n">
        <v>7</v>
      </c>
      <c r="E4" t="n">
        <v>1980</v>
      </c>
      <c r="F4" t="n">
        <v>5</v>
      </c>
      <c r="G4" t="n">
        <v>702000</v>
      </c>
      <c r="H4" t="n">
        <v>500</v>
      </c>
      <c r="I4" t="n">
        <v>0.02</v>
      </c>
      <c r="J4" t="inlineStr">
        <is>
          <t>Y</t>
        </is>
      </c>
      <c r="L4" t="n">
        <v>4</v>
      </c>
      <c r="M4" s="1" t="n">
        <v>46708</v>
      </c>
      <c r="N4" t="n">
        <v>6</v>
      </c>
    </row>
    <row r="5">
      <c r="A5" t="inlineStr">
        <is>
          <t>HO-000004</t>
        </is>
      </c>
      <c r="B5" t="inlineStr">
        <is>
          <t>T04</t>
        </is>
      </c>
      <c r="C5" t="inlineStr">
        <is>
          <t>MasonryVeneer</t>
        </is>
      </c>
      <c r="D5" t="n">
        <v>8</v>
      </c>
      <c r="E5" t="n">
        <v>1984</v>
      </c>
      <c r="F5" t="n">
        <v>15</v>
      </c>
      <c r="G5" t="n">
        <v>1118000</v>
      </c>
      <c r="H5" t="n">
        <v>999</v>
      </c>
      <c r="I5" t="n">
        <v>0.05</v>
      </c>
      <c r="J5" t="inlineStr">
        <is>
          <t>y</t>
        </is>
      </c>
      <c r="K5" t="inlineStr">
        <is>
          <t>None</t>
        </is>
      </c>
      <c r="L5" t="n">
        <v>3</v>
      </c>
      <c r="M5" s="1" t="n">
        <v>46391</v>
      </c>
      <c r="N5" t="n">
        <v>12</v>
      </c>
    </row>
    <row r="6">
      <c r="A6" t="inlineStr">
        <is>
          <t>HO-000005</t>
        </is>
      </c>
      <c r="B6" t="inlineStr">
        <is>
          <t>T03</t>
        </is>
      </c>
      <c r="C6" t="inlineStr">
        <is>
          <t>FireResistive</t>
        </is>
      </c>
      <c r="D6" t="n">
        <v>8</v>
      </c>
      <c r="E6" t="n">
        <v>1933</v>
      </c>
      <c r="F6" t="n">
        <v>19</v>
      </c>
      <c r="G6" t="n">
        <v>1145264</v>
      </c>
      <c r="H6" t="n">
        <v>1000</v>
      </c>
      <c r="I6" t="n">
        <v>0.02</v>
      </c>
      <c r="J6" t="inlineStr">
        <is>
          <t>y</t>
        </is>
      </c>
      <c r="K6" t="inlineStr">
        <is>
          <t>Basic</t>
        </is>
      </c>
      <c r="L6" t="n">
        <v>3</v>
      </c>
      <c r="M6" s="1" t="n">
        <v>46486</v>
      </c>
      <c r="N6" t="n">
        <v>12</v>
      </c>
    </row>
    <row r="7">
      <c r="A7" t="inlineStr">
        <is>
          <t>HO-000006</t>
        </is>
      </c>
      <c r="B7" t="inlineStr">
        <is>
          <t>T01</t>
        </is>
      </c>
      <c r="C7" t="inlineStr">
        <is>
          <t>FireResistive</t>
        </is>
      </c>
      <c r="D7" t="n">
        <v>10</v>
      </c>
      <c r="E7" t="n">
        <v>1994</v>
      </c>
      <c r="F7" t="n">
        <v>28</v>
      </c>
      <c r="G7" t="n">
        <v>270000</v>
      </c>
      <c r="H7" t="n">
        <v>2499</v>
      </c>
      <c r="J7" t="inlineStr">
        <is>
          <t>Y</t>
        </is>
      </c>
      <c r="K7" t="inlineStr">
        <is>
          <t>None</t>
        </is>
      </c>
      <c r="L7" t="n">
        <v>4</v>
      </c>
      <c r="M7" s="1" t="n">
        <v>46117</v>
      </c>
      <c r="N7" t="n">
        <v>12</v>
      </c>
    </row>
    <row r="8">
      <c r="A8" t="inlineStr">
        <is>
          <t>HO-000007</t>
        </is>
      </c>
      <c r="B8" t="inlineStr">
        <is>
          <t>T06</t>
        </is>
      </c>
      <c r="C8" t="inlineStr">
        <is>
          <t>Masonry</t>
        </is>
      </c>
      <c r="D8" t="n">
        <v>1</v>
      </c>
      <c r="E8" t="n">
        <v>1965</v>
      </c>
      <c r="F8" t="n">
        <v>20</v>
      </c>
      <c r="G8" t="n">
        <v>1304359</v>
      </c>
      <c r="H8" t="n">
        <v>2500</v>
      </c>
      <c r="I8" t="n">
        <v>0.03</v>
      </c>
      <c r="J8" t="inlineStr">
        <is>
          <t>N</t>
        </is>
      </c>
      <c r="L8" t="n">
        <v>0</v>
      </c>
      <c r="M8" s="1" t="n">
        <v>46707</v>
      </c>
      <c r="N8" t="n">
        <v>12</v>
      </c>
    </row>
    <row r="9">
      <c r="A9" t="inlineStr">
        <is>
          <t>HO-000008</t>
        </is>
      </c>
      <c r="B9" t="inlineStr">
        <is>
          <t>T07</t>
        </is>
      </c>
      <c r="C9" t="inlineStr">
        <is>
          <t>Masonry</t>
        </is>
      </c>
      <c r="D9" t="n">
        <v>3</v>
      </c>
      <c r="E9" t="n">
        <v>2025</v>
      </c>
      <c r="F9" t="n">
        <v>24</v>
      </c>
      <c r="G9" t="n">
        <v>741737</v>
      </c>
      <c r="H9" t="n">
        <v>4999</v>
      </c>
      <c r="I9" t="n">
        <v>0.02</v>
      </c>
      <c r="J9" t="inlineStr">
        <is>
          <t>Y</t>
        </is>
      </c>
      <c r="K9" t="inlineStr">
        <is>
          <t>Basic</t>
        </is>
      </c>
      <c r="L9" t="n">
        <v>2</v>
      </c>
      <c r="M9" s="1" t="n">
        <v>46109</v>
      </c>
      <c r="N9" t="n">
        <v>12</v>
      </c>
    </row>
    <row r="10">
      <c r="A10" t="inlineStr">
        <is>
          <t>HO-000009</t>
        </is>
      </c>
      <c r="B10" t="inlineStr">
        <is>
          <t>T07</t>
        </is>
      </c>
      <c r="C10" t="inlineStr">
        <is>
          <t>Frame</t>
        </is>
      </c>
      <c r="D10" t="n">
        <v>1</v>
      </c>
      <c r="E10" t="n">
        <v>1969</v>
      </c>
      <c r="F10" t="n">
        <v>19</v>
      </c>
      <c r="G10" t="n">
        <v>823000</v>
      </c>
      <c r="H10" t="n">
        <v>5000</v>
      </c>
      <c r="I10" t="n">
        <v>0.1</v>
      </c>
      <c r="K10" t="inlineStr">
        <is>
          <t>Fortified</t>
        </is>
      </c>
      <c r="L10" t="n">
        <v>3</v>
      </c>
      <c r="M10" s="1" t="n">
        <v>46131</v>
      </c>
      <c r="N10" t="n">
        <v>12</v>
      </c>
    </row>
    <row r="11">
      <c r="A11" t="inlineStr">
        <is>
          <t>HO-000010</t>
        </is>
      </c>
      <c r="B11" t="inlineStr">
        <is>
          <t>T08</t>
        </is>
      </c>
      <c r="C11" t="inlineStr">
        <is>
          <t>FireResistive</t>
        </is>
      </c>
      <c r="D11" t="n">
        <v>10</v>
      </c>
      <c r="E11" t="n">
        <v>2004</v>
      </c>
      <c r="F11" t="n">
        <v>24</v>
      </c>
      <c r="G11" t="n">
        <v>449000</v>
      </c>
      <c r="H11" t="n">
        <v>9999</v>
      </c>
      <c r="I11" t="n">
        <v>0.03</v>
      </c>
      <c r="L11" t="n">
        <v>0</v>
      </c>
      <c r="M11" s="1" t="n">
        <v>46147</v>
      </c>
      <c r="N11" t="n">
        <v>12</v>
      </c>
    </row>
    <row r="12">
      <c r="A12" t="inlineStr">
        <is>
          <t>HO-000011</t>
        </is>
      </c>
      <c r="B12" t="inlineStr">
        <is>
          <t>T07</t>
        </is>
      </c>
      <c r="C12" t="inlineStr">
        <is>
          <t>Frame</t>
        </is>
      </c>
      <c r="D12" t="n">
        <v>4</v>
      </c>
      <c r="E12" t="n">
        <v>2007</v>
      </c>
      <c r="F12" t="n">
        <v>28</v>
      </c>
      <c r="G12" t="n">
        <v>455000</v>
      </c>
      <c r="H12" t="n">
        <v>10000</v>
      </c>
      <c r="I12" t="n">
        <v>0.02</v>
      </c>
      <c r="J12" t="inlineStr">
        <is>
          <t>y</t>
        </is>
      </c>
      <c r="K12" t="inlineStr">
        <is>
          <t>None</t>
        </is>
      </c>
      <c r="L12" t="n">
        <v>0</v>
      </c>
      <c r="M12" s="1" t="n">
        <v>46583</v>
      </c>
      <c r="N12" t="n">
        <v>12</v>
      </c>
    </row>
    <row r="13">
      <c r="A13" t="inlineStr">
        <is>
          <t>HO-000012</t>
        </is>
      </c>
      <c r="B13" t="inlineStr">
        <is>
          <t>T03</t>
        </is>
      </c>
      <c r="C13" t="inlineStr">
        <is>
          <t>Masonry</t>
        </is>
      </c>
      <c r="D13" t="n">
        <v>3</v>
      </c>
      <c r="E13" t="n">
        <v>1974</v>
      </c>
      <c r="F13" t="n">
        <v>7</v>
      </c>
      <c r="G13" t="n">
        <v>1217804</v>
      </c>
      <c r="H13" t="n">
        <v>10001</v>
      </c>
      <c r="I13" t="n">
        <v>0.1</v>
      </c>
      <c r="K13" t="inlineStr">
        <is>
          <t>Basic</t>
        </is>
      </c>
      <c r="L13" t="n">
        <v>1</v>
      </c>
      <c r="M13" s="1" t="n">
        <v>46827</v>
      </c>
      <c r="N13" t="n">
        <v>12</v>
      </c>
    </row>
    <row r="14">
      <c r="A14" t="inlineStr">
        <is>
          <t>HO-000013</t>
        </is>
      </c>
      <c r="B14" t="inlineStr">
        <is>
          <t>T08</t>
        </is>
      </c>
      <c r="C14" t="inlineStr">
        <is>
          <t>FireResistive</t>
        </is>
      </c>
      <c r="D14" t="n">
        <v>7</v>
      </c>
      <c r="E14" t="n">
        <v>1961</v>
      </c>
      <c r="F14" t="n">
        <v>13</v>
      </c>
      <c r="G14" t="n">
        <v>783229</v>
      </c>
      <c r="H14" t="n">
        <v>50000</v>
      </c>
      <c r="J14" t="inlineStr">
        <is>
          <t>Y</t>
        </is>
      </c>
      <c r="K14" t="inlineStr">
        <is>
          <t>fortified</t>
        </is>
      </c>
      <c r="L14" t="n">
        <v>1</v>
      </c>
      <c r="M14" s="1" t="n">
        <v>46292</v>
      </c>
      <c r="N14" t="n">
        <v>12</v>
      </c>
    </row>
    <row r="15">
      <c r="A15" t="inlineStr">
        <is>
          <t>HO-000014</t>
        </is>
      </c>
      <c r="B15" t="inlineStr">
        <is>
          <t>T04</t>
        </is>
      </c>
      <c r="C15" t="inlineStr">
        <is>
          <t>Masonry</t>
        </is>
      </c>
      <c r="D15" t="n">
        <v>1</v>
      </c>
      <c r="E15" t="n">
        <v>1936</v>
      </c>
      <c r="F15" t="n">
        <v>27</v>
      </c>
      <c r="G15" t="n">
        <v>100000</v>
      </c>
      <c r="H15" t="n">
        <v>10000</v>
      </c>
      <c r="I15" t="n">
        <v>0.03</v>
      </c>
      <c r="J15" t="inlineStr">
        <is>
          <t>N</t>
        </is>
      </c>
      <c r="K15" t="inlineStr">
        <is>
          <t>None</t>
        </is>
      </c>
      <c r="L15" t="n">
        <v>1</v>
      </c>
      <c r="M15" s="1" t="n">
        <v>46891</v>
      </c>
      <c r="N15" t="n">
        <v>12</v>
      </c>
    </row>
    <row r="16">
      <c r="A16" t="inlineStr">
        <is>
          <t>HO-000015</t>
        </is>
      </c>
      <c r="B16" t="inlineStr">
        <is>
          <t>T04</t>
        </is>
      </c>
      <c r="C16" t="inlineStr">
        <is>
          <t>Frame</t>
        </is>
      </c>
      <c r="D16" t="n">
        <v>10</v>
      </c>
      <c r="E16" t="n">
        <v>2016</v>
      </c>
      <c r="F16" t="n">
        <v>7</v>
      </c>
      <c r="G16" t="n">
        <v>149999</v>
      </c>
      <c r="H16" t="n">
        <v>7500</v>
      </c>
      <c r="I16" t="n">
        <v>0.05</v>
      </c>
      <c r="J16" t="inlineStr">
        <is>
          <t>Y</t>
        </is>
      </c>
      <c r="K16" t="inlineStr">
        <is>
          <t>Fortified</t>
        </is>
      </c>
      <c r="L16" t="n">
        <v>4</v>
      </c>
      <c r="M16" s="1" t="n">
        <v>46383</v>
      </c>
      <c r="N16" t="n">
        <v>12</v>
      </c>
    </row>
    <row r="17">
      <c r="A17" t="inlineStr">
        <is>
          <t>HO-000016</t>
        </is>
      </c>
      <c r="B17" t="inlineStr">
        <is>
          <t>T03</t>
        </is>
      </c>
      <c r="C17" t="inlineStr">
        <is>
          <t>Masonry</t>
        </is>
      </c>
      <c r="D17" t="n">
        <v>4</v>
      </c>
      <c r="E17" t="n">
        <v>1990</v>
      </c>
      <c r="F17" t="n">
        <v>8</v>
      </c>
      <c r="G17" t="n">
        <v>350000</v>
      </c>
      <c r="H17" t="n">
        <v>1000</v>
      </c>
      <c r="I17" t="n">
        <v>0.02</v>
      </c>
      <c r="J17" t="inlineStr">
        <is>
          <t>N</t>
        </is>
      </c>
      <c r="K17" t="inlineStr">
        <is>
          <t>None</t>
        </is>
      </c>
      <c r="L17" t="n">
        <v>0</v>
      </c>
      <c r="M17" s="1" t="n">
        <v>46143</v>
      </c>
      <c r="N17" t="n">
        <v>12</v>
      </c>
    </row>
    <row r="18">
      <c r="A18" t="inlineStr">
        <is>
          <t>HO-000017</t>
        </is>
      </c>
      <c r="B18" t="inlineStr">
        <is>
          <t>T05</t>
        </is>
      </c>
      <c r="C18" t="inlineStr">
        <is>
          <t>Frame</t>
        </is>
      </c>
      <c r="D18" t="n">
        <v>7</v>
      </c>
      <c r="E18" t="n">
        <v>1946</v>
      </c>
      <c r="F18" t="n">
        <v>2</v>
      </c>
      <c r="G18" t="n">
        <v>150000</v>
      </c>
      <c r="H18" t="n">
        <v>1000</v>
      </c>
      <c r="J18" t="inlineStr">
        <is>
          <t>Y</t>
        </is>
      </c>
      <c r="K18" t="inlineStr">
        <is>
          <t>Fortified</t>
        </is>
      </c>
      <c r="L18" t="n">
        <v>1</v>
      </c>
      <c r="M18" s="1" t="n">
        <v>46126</v>
      </c>
      <c r="N18" t="n">
        <v>12</v>
      </c>
    </row>
    <row r="19">
      <c r="A19" t="inlineStr">
        <is>
          <t>HO-000018</t>
        </is>
      </c>
      <c r="B19" t="inlineStr">
        <is>
          <t>T06</t>
        </is>
      </c>
      <c r="C19" t="inlineStr">
        <is>
          <t>Masonry</t>
        </is>
      </c>
      <c r="D19" t="n">
        <v>5</v>
      </c>
      <c r="E19" t="n">
        <v>1957</v>
      </c>
      <c r="F19" t="n">
        <v>1</v>
      </c>
      <c r="G19" t="n">
        <v>249999</v>
      </c>
      <c r="H19" t="n">
        <v>10000</v>
      </c>
      <c r="J19" t="inlineStr">
        <is>
          <t>Y</t>
        </is>
      </c>
      <c r="K19" t="inlineStr">
        <is>
          <t>None</t>
        </is>
      </c>
      <c r="L19" t="n">
        <v>0</v>
      </c>
      <c r="M19" s="1" t="n">
        <v>46321</v>
      </c>
      <c r="N19" t="n">
        <v>12</v>
      </c>
    </row>
    <row r="20">
      <c r="A20" t="inlineStr">
        <is>
          <t>HO-000019</t>
        </is>
      </c>
      <c r="B20" t="inlineStr">
        <is>
          <t>T02</t>
        </is>
      </c>
      <c r="C20" t="inlineStr">
        <is>
          <t>Frame</t>
        </is>
      </c>
      <c r="D20" t="n">
        <v>9</v>
      </c>
      <c r="E20" t="n">
        <v>1998</v>
      </c>
      <c r="F20" t="n">
        <v>28</v>
      </c>
      <c r="G20" t="n">
        <v>250000</v>
      </c>
      <c r="H20" t="n">
        <v>7500</v>
      </c>
      <c r="I20" t="n">
        <v>0.03</v>
      </c>
      <c r="J20" t="inlineStr">
        <is>
          <t>Y</t>
        </is>
      </c>
      <c r="L20" t="n">
        <v>1</v>
      </c>
      <c r="M20" s="1" t="n">
        <v>46340</v>
      </c>
      <c r="N20" t="n">
        <v>12</v>
      </c>
    </row>
    <row r="21">
      <c r="A21" t="inlineStr">
        <is>
          <t>HO-000020</t>
        </is>
      </c>
      <c r="B21" t="inlineStr">
        <is>
          <t>T08</t>
        </is>
      </c>
      <c r="C21" t="inlineStr">
        <is>
          <t>FireResistive</t>
        </is>
      </c>
      <c r="D21" t="n">
        <v>2</v>
      </c>
      <c r="E21" t="n">
        <v>2012</v>
      </c>
      <c r="F21" t="n">
        <v>10</v>
      </c>
      <c r="G21" t="n">
        <v>399999</v>
      </c>
      <c r="H21" t="n">
        <v>10000</v>
      </c>
      <c r="I21" t="n">
        <v>0.05</v>
      </c>
      <c r="K21" t="inlineStr">
        <is>
          <t>None</t>
        </is>
      </c>
      <c r="L21" t="n">
        <v>2</v>
      </c>
      <c r="M21" s="1" t="n">
        <v>46631</v>
      </c>
      <c r="N21" t="n">
        <v>12</v>
      </c>
    </row>
    <row r="22">
      <c r="A22" t="inlineStr">
        <is>
          <t>HO-000021</t>
        </is>
      </c>
      <c r="B22" t="inlineStr">
        <is>
          <t>T06</t>
        </is>
      </c>
      <c r="C22" t="inlineStr">
        <is>
          <t>MasonryVeneer</t>
        </is>
      </c>
      <c r="D22" t="n">
        <v>2</v>
      </c>
      <c r="E22" t="n">
        <v>1963</v>
      </c>
      <c r="F22" t="n">
        <v>23</v>
      </c>
      <c r="G22" t="n">
        <v>400000</v>
      </c>
      <c r="H22" t="n">
        <v>1500</v>
      </c>
      <c r="I22" t="n">
        <v>0.05</v>
      </c>
      <c r="J22" t="inlineStr">
        <is>
          <t>N</t>
        </is>
      </c>
      <c r="K22" t="inlineStr">
        <is>
          <t>fortified</t>
        </is>
      </c>
      <c r="M22" s="1" t="n">
        <v>46311</v>
      </c>
      <c r="N22" t="n">
        <v>12</v>
      </c>
    </row>
    <row r="23">
      <c r="A23" t="inlineStr">
        <is>
          <t>HO-000022</t>
        </is>
      </c>
      <c r="B23" t="inlineStr">
        <is>
          <t>T02</t>
        </is>
      </c>
      <c r="C23" t="inlineStr">
        <is>
          <t>Frame</t>
        </is>
      </c>
      <c r="D23" t="n">
        <v>1</v>
      </c>
      <c r="E23" t="n">
        <v>1941</v>
      </c>
      <c r="F23" t="n">
        <v>15</v>
      </c>
      <c r="G23" t="n">
        <v>599999</v>
      </c>
      <c r="H23" t="n">
        <v>500</v>
      </c>
      <c r="I23" t="n">
        <v>0.1</v>
      </c>
      <c r="J23" t="inlineStr">
        <is>
          <t>Y</t>
        </is>
      </c>
      <c r="K23" t="inlineStr">
        <is>
          <t>Basic</t>
        </is>
      </c>
      <c r="L23" t="n">
        <v>1</v>
      </c>
      <c r="M23" s="1" t="n">
        <v>46189</v>
      </c>
      <c r="N23" t="n">
        <v>6</v>
      </c>
    </row>
    <row r="24">
      <c r="A24" t="inlineStr">
        <is>
          <t>HO-000023</t>
        </is>
      </c>
      <c r="B24" t="inlineStr">
        <is>
          <t>T07</t>
        </is>
      </c>
      <c r="C24" t="inlineStr">
        <is>
          <t>Masonry</t>
        </is>
      </c>
      <c r="D24" t="n">
        <v>7</v>
      </c>
      <c r="E24" t="n">
        <v>2009</v>
      </c>
      <c r="F24" t="n">
        <v>6</v>
      </c>
      <c r="G24" t="n">
        <v>600000</v>
      </c>
      <c r="H24" t="n">
        <v>25000</v>
      </c>
      <c r="I24" t="n">
        <v>0.03</v>
      </c>
      <c r="J24" t="inlineStr">
        <is>
          <t>Y</t>
        </is>
      </c>
      <c r="L24" t="n">
        <v>1</v>
      </c>
      <c r="M24" s="1" t="n">
        <v>46416</v>
      </c>
      <c r="N24" t="n">
        <v>12</v>
      </c>
    </row>
    <row r="25">
      <c r="A25" t="inlineStr">
        <is>
          <t>HO-000024</t>
        </is>
      </c>
      <c r="B25" t="inlineStr">
        <is>
          <t>T01</t>
        </is>
      </c>
      <c r="C25" t="inlineStr">
        <is>
          <t>Frame</t>
        </is>
      </c>
      <c r="D25" t="n">
        <v>5</v>
      </c>
      <c r="E25" t="n">
        <v>1994</v>
      </c>
      <c r="F25" t="n">
        <v>14</v>
      </c>
      <c r="G25" t="n">
        <v>999999</v>
      </c>
      <c r="H25" t="n">
        <v>1000</v>
      </c>
      <c r="I25" t="n">
        <v>0.03</v>
      </c>
      <c r="J25" t="inlineStr">
        <is>
          <t>Y</t>
        </is>
      </c>
      <c r="K25" t="inlineStr">
        <is>
          <t>Basic</t>
        </is>
      </c>
      <c r="L25" t="n">
        <v>4</v>
      </c>
      <c r="M25" s="1" t="n">
        <v>46256</v>
      </c>
      <c r="N25" t="n">
        <v>12</v>
      </c>
    </row>
    <row r="26">
      <c r="A26" t="inlineStr">
        <is>
          <t>HO-000025</t>
        </is>
      </c>
      <c r="B26" t="inlineStr">
        <is>
          <t>T05</t>
        </is>
      </c>
      <c r="C26" t="inlineStr">
        <is>
          <t>MasonryVeneer</t>
        </is>
      </c>
      <c r="D26" t="n">
        <v>9</v>
      </c>
      <c r="E26" t="n">
        <v>2021</v>
      </c>
      <c r="F26" t="n">
        <v>22</v>
      </c>
      <c r="G26" t="n">
        <v>1000000</v>
      </c>
      <c r="H26" t="n">
        <v>25000</v>
      </c>
      <c r="I26" t="n">
        <v>0.02</v>
      </c>
      <c r="J26" t="inlineStr">
        <is>
          <t>y</t>
        </is>
      </c>
      <c r="K26" t="inlineStr">
        <is>
          <t>None</t>
        </is>
      </c>
      <c r="L26" t="n">
        <v>0</v>
      </c>
      <c r="M26" s="1" t="n">
        <v>46688</v>
      </c>
      <c r="N26" t="n">
        <v>12</v>
      </c>
    </row>
    <row r="27">
      <c r="A27" t="inlineStr">
        <is>
          <t>HO-000026</t>
        </is>
      </c>
      <c r="B27" t="inlineStr">
        <is>
          <t>T07</t>
        </is>
      </c>
      <c r="C27" t="inlineStr">
        <is>
          <t>MasonryVeneer</t>
        </is>
      </c>
      <c r="D27" t="n">
        <v>4</v>
      </c>
      <c r="E27" t="n">
        <v>1996</v>
      </c>
      <c r="F27" t="n">
        <v>25</v>
      </c>
      <c r="G27" t="n">
        <v>1000001</v>
      </c>
      <c r="H27" t="n">
        <v>5000</v>
      </c>
      <c r="I27" t="n">
        <v>0.05</v>
      </c>
      <c r="J27" t="inlineStr">
        <is>
          <t>y</t>
        </is>
      </c>
      <c r="L27" t="n">
        <v>4</v>
      </c>
      <c r="M27" s="1" t="n">
        <v>46786</v>
      </c>
      <c r="N27" t="n">
        <v>6</v>
      </c>
    </row>
    <row r="28">
      <c r="A28" t="inlineStr">
        <is>
          <t>HO-000027</t>
        </is>
      </c>
      <c r="B28" t="inlineStr">
        <is>
          <t>T05</t>
        </is>
      </c>
      <c r="C28" t="inlineStr">
        <is>
          <t>Masonry</t>
        </is>
      </c>
      <c r="D28" t="n">
        <v>3</v>
      </c>
      <c r="E28" t="n">
        <v>2005</v>
      </c>
      <c r="F28" t="n">
        <v>12</v>
      </c>
      <c r="G28" t="n">
        <v>1999999</v>
      </c>
      <c r="H28" t="n">
        <v>5000</v>
      </c>
      <c r="I28" t="n">
        <v>0.03</v>
      </c>
      <c r="J28" t="inlineStr">
        <is>
          <t>y</t>
        </is>
      </c>
      <c r="K28" t="inlineStr">
        <is>
          <t>None</t>
        </is>
      </c>
      <c r="L28" t="n">
        <v>0</v>
      </c>
      <c r="M28" s="1" t="n">
        <v>46830</v>
      </c>
      <c r="N28" t="n">
        <v>12</v>
      </c>
    </row>
    <row r="29">
      <c r="A29" t="inlineStr">
        <is>
          <t>HO-000028</t>
        </is>
      </c>
      <c r="B29" t="inlineStr">
        <is>
          <t>T06</t>
        </is>
      </c>
      <c r="C29" t="inlineStr">
        <is>
          <t>MasonryVeneer</t>
        </is>
      </c>
      <c r="D29" t="n">
        <v>3</v>
      </c>
      <c r="E29" t="n">
        <v>2016</v>
      </c>
      <c r="F29" t="n">
        <v>22</v>
      </c>
      <c r="G29" t="n">
        <v>2000000</v>
      </c>
      <c r="H29" t="n">
        <v>7500</v>
      </c>
      <c r="I29" t="n">
        <v>0.05</v>
      </c>
      <c r="J29" t="inlineStr">
        <is>
          <t>Y</t>
        </is>
      </c>
      <c r="K29" t="inlineStr">
        <is>
          <t>None</t>
        </is>
      </c>
      <c r="L29" t="n">
        <v>2</v>
      </c>
      <c r="M29" s="1" t="n">
        <v>46329</v>
      </c>
      <c r="N29" t="n">
        <v>6</v>
      </c>
    </row>
    <row r="30">
      <c r="A30" t="inlineStr">
        <is>
          <t>HO-000029</t>
        </is>
      </c>
      <c r="B30" t="inlineStr">
        <is>
          <t>T03</t>
        </is>
      </c>
      <c r="C30" t="inlineStr">
        <is>
          <t>Frame</t>
        </is>
      </c>
      <c r="D30" t="n">
        <v>2</v>
      </c>
      <c r="E30" t="n">
        <v>2027</v>
      </c>
      <c r="F30" t="n">
        <v>22</v>
      </c>
      <c r="G30" t="n">
        <v>799630</v>
      </c>
      <c r="H30" t="n">
        <v>2500</v>
      </c>
      <c r="J30" t="inlineStr">
        <is>
          <t>Y</t>
        </is>
      </c>
      <c r="K30" t="inlineStr">
        <is>
          <t>Basic</t>
        </is>
      </c>
      <c r="L30" t="n">
        <v>0</v>
      </c>
      <c r="M30" s="1" t="n">
        <v>46447</v>
      </c>
      <c r="N30" t="n">
        <v>12</v>
      </c>
    </row>
    <row r="31">
      <c r="A31" t="inlineStr">
        <is>
          <t>HO-000030</t>
        </is>
      </c>
      <c r="B31" t="inlineStr">
        <is>
          <t>T05</t>
        </is>
      </c>
      <c r="C31" t="inlineStr">
        <is>
          <t>Masonry</t>
        </is>
      </c>
      <c r="D31" t="n">
        <v>7</v>
      </c>
      <c r="E31" t="n">
        <v>2023</v>
      </c>
      <c r="F31" t="n">
        <v>14</v>
      </c>
      <c r="G31" t="n">
        <v>741881</v>
      </c>
      <c r="H31" t="n">
        <v>1000</v>
      </c>
      <c r="I31" t="n">
        <v>0.05</v>
      </c>
      <c r="J31" t="inlineStr">
        <is>
          <t>Y</t>
        </is>
      </c>
      <c r="K31" t="inlineStr">
        <is>
          <t>Fortified</t>
        </is>
      </c>
      <c r="L31" t="n">
        <v>0</v>
      </c>
      <c r="M31" s="1" t="n">
        <v>46539</v>
      </c>
      <c r="N31" t="n">
        <v>12</v>
      </c>
    </row>
    <row r="32">
      <c r="A32" t="inlineStr">
        <is>
          <t>HO-000031</t>
        </is>
      </c>
      <c r="B32" t="inlineStr">
        <is>
          <t>T05</t>
        </is>
      </c>
      <c r="C32" t="inlineStr">
        <is>
          <t>MasonryVeneer</t>
        </is>
      </c>
      <c r="D32" t="n">
        <v>3</v>
      </c>
      <c r="E32" t="n">
        <v>2025</v>
      </c>
      <c r="F32" t="n">
        <v>5</v>
      </c>
      <c r="G32" t="n">
        <v>119815</v>
      </c>
      <c r="H32" t="n">
        <v>10000</v>
      </c>
      <c r="I32" t="n">
        <v>0.05</v>
      </c>
      <c r="J32" t="inlineStr">
        <is>
          <t>Y</t>
        </is>
      </c>
      <c r="K32" t="inlineStr">
        <is>
          <t>Basic</t>
        </is>
      </c>
      <c r="L32" t="n">
        <v>4</v>
      </c>
      <c r="M32" s="1" t="n">
        <v>46447</v>
      </c>
      <c r="N32" t="n">
        <v>12</v>
      </c>
    </row>
    <row r="33">
      <c r="A33" t="inlineStr">
        <is>
          <t>HO-000032</t>
        </is>
      </c>
      <c r="B33" t="inlineStr">
        <is>
          <t>T06</t>
        </is>
      </c>
      <c r="C33" t="inlineStr">
        <is>
          <t>Masonry</t>
        </is>
      </c>
      <c r="D33" t="n">
        <v>3</v>
      </c>
      <c r="E33" t="n">
        <v>2024</v>
      </c>
      <c r="F33" t="n">
        <v>27</v>
      </c>
      <c r="G33" t="n">
        <v>338000</v>
      </c>
      <c r="H33" t="n">
        <v>5000</v>
      </c>
      <c r="K33" t="inlineStr">
        <is>
          <t>Fortified</t>
        </is>
      </c>
      <c r="L33" t="n">
        <v>0</v>
      </c>
      <c r="M33" s="1" t="n">
        <v>46447</v>
      </c>
      <c r="N33" t="n">
        <v>12</v>
      </c>
    </row>
    <row r="34">
      <c r="A34" t="inlineStr">
        <is>
          <t>HO-000033</t>
        </is>
      </c>
      <c r="B34" t="inlineStr">
        <is>
          <t>T04</t>
        </is>
      </c>
      <c r="C34" t="inlineStr">
        <is>
          <t>Masonry</t>
        </is>
      </c>
      <c r="D34" t="n">
        <v>2</v>
      </c>
      <c r="E34" t="n">
        <v>2023</v>
      </c>
      <c r="F34" t="n">
        <v>14</v>
      </c>
      <c r="G34" t="n">
        <v>253367</v>
      </c>
      <c r="H34" t="n">
        <v>2500</v>
      </c>
      <c r="I34" t="n">
        <v>0.03</v>
      </c>
      <c r="K34" t="inlineStr">
        <is>
          <t>None</t>
        </is>
      </c>
      <c r="L34" t="n">
        <v>1</v>
      </c>
      <c r="M34" s="1" t="n">
        <v>46447</v>
      </c>
      <c r="N34" t="n">
        <v>6</v>
      </c>
    </row>
    <row r="35">
      <c r="A35" t="inlineStr">
        <is>
          <t>HO-000034</t>
        </is>
      </c>
      <c r="B35" t="inlineStr">
        <is>
          <t>T02</t>
        </is>
      </c>
      <c r="C35" t="inlineStr">
        <is>
          <t>Masonry</t>
        </is>
      </c>
      <c r="D35" t="n">
        <v>6</v>
      </c>
      <c r="E35" t="n">
        <v>2022</v>
      </c>
      <c r="F35" t="n">
        <v>25</v>
      </c>
      <c r="G35" t="n">
        <v>1327494</v>
      </c>
      <c r="H35" t="n">
        <v>1000</v>
      </c>
      <c r="J35" t="inlineStr">
        <is>
          <t>Y</t>
        </is>
      </c>
      <c r="L35" t="n">
        <v>1</v>
      </c>
      <c r="M35" s="1" t="n">
        <v>46447</v>
      </c>
      <c r="N35" t="n">
        <v>12</v>
      </c>
    </row>
    <row r="36">
      <c r="A36" t="inlineStr">
        <is>
          <t>HO-000035</t>
        </is>
      </c>
      <c r="B36" t="inlineStr">
        <is>
          <t>T04</t>
        </is>
      </c>
      <c r="C36" t="inlineStr">
        <is>
          <t>Masonry</t>
        </is>
      </c>
      <c r="D36" t="n">
        <v>6</v>
      </c>
      <c r="E36" t="n">
        <v>2021</v>
      </c>
      <c r="F36" t="n">
        <v>15</v>
      </c>
      <c r="G36" t="n">
        <v>795651</v>
      </c>
      <c r="H36" t="n">
        <v>25000</v>
      </c>
      <c r="I36" t="n">
        <v>0.1</v>
      </c>
      <c r="J36" t="inlineStr">
        <is>
          <t>y</t>
        </is>
      </c>
      <c r="K36" t="inlineStr">
        <is>
          <t>Fortified</t>
        </is>
      </c>
      <c r="L36" t="n">
        <v>0</v>
      </c>
      <c r="M36" s="1" t="n">
        <v>46447</v>
      </c>
      <c r="N36" t="n">
        <v>12</v>
      </c>
    </row>
    <row r="37">
      <c r="A37" t="inlineStr">
        <is>
          <t>HO-000036</t>
        </is>
      </c>
      <c r="B37" t="inlineStr">
        <is>
          <t>T08</t>
        </is>
      </c>
      <c r="C37" t="inlineStr">
        <is>
          <t>Masonry</t>
        </is>
      </c>
      <c r="D37" t="n">
        <v>6</v>
      </c>
      <c r="E37" t="n">
        <v>2018</v>
      </c>
      <c r="F37" t="n">
        <v>24</v>
      </c>
      <c r="G37" t="n">
        <v>959202</v>
      </c>
      <c r="H37" t="n">
        <v>2500</v>
      </c>
      <c r="I37" t="n">
        <v>0.02</v>
      </c>
      <c r="J37" t="inlineStr">
        <is>
          <t>y</t>
        </is>
      </c>
      <c r="K37" t="inlineStr">
        <is>
          <t>fortified</t>
        </is>
      </c>
      <c r="L37" t="n">
        <v>0</v>
      </c>
      <c r="M37" s="1" t="n">
        <v>46447</v>
      </c>
      <c r="N37" t="n">
        <v>6</v>
      </c>
    </row>
    <row r="38">
      <c r="A38" t="inlineStr">
        <is>
          <t>HO-000037</t>
        </is>
      </c>
      <c r="B38" t="inlineStr">
        <is>
          <t>T06</t>
        </is>
      </c>
      <c r="C38" t="inlineStr">
        <is>
          <t>Frame</t>
        </is>
      </c>
      <c r="D38" t="n">
        <v>6</v>
      </c>
      <c r="E38" t="n">
        <v>2017</v>
      </c>
      <c r="F38" t="n">
        <v>25</v>
      </c>
      <c r="G38" t="n">
        <v>1010000</v>
      </c>
      <c r="H38" t="n">
        <v>1500</v>
      </c>
      <c r="I38" t="n">
        <v>0.05</v>
      </c>
      <c r="J38" t="inlineStr">
        <is>
          <t>N</t>
        </is>
      </c>
      <c r="K38" t="inlineStr">
        <is>
          <t>Fortified</t>
        </is>
      </c>
      <c r="L38" t="n">
        <v>0</v>
      </c>
      <c r="M38" s="1" t="n">
        <v>46447</v>
      </c>
      <c r="N38" t="n">
        <v>12</v>
      </c>
    </row>
    <row r="39">
      <c r="A39" t="inlineStr">
        <is>
          <t>HO-000038</t>
        </is>
      </c>
      <c r="B39" t="inlineStr">
        <is>
          <t>T05</t>
        </is>
      </c>
      <c r="C39" t="inlineStr">
        <is>
          <t>FireResistive</t>
        </is>
      </c>
      <c r="D39" t="n">
        <v>7</v>
      </c>
      <c r="E39" t="n">
        <v>2008</v>
      </c>
      <c r="G39" t="n">
        <v>790319</v>
      </c>
      <c r="H39" t="n">
        <v>5000</v>
      </c>
      <c r="J39" t="inlineStr">
        <is>
          <t>y</t>
        </is>
      </c>
      <c r="K39" t="inlineStr">
        <is>
          <t>fortified</t>
        </is>
      </c>
      <c r="L39" t="n">
        <v>4</v>
      </c>
      <c r="M39" s="1" t="n">
        <v>46447</v>
      </c>
      <c r="N39" t="n">
        <v>12</v>
      </c>
    </row>
    <row r="40">
      <c r="A40" t="inlineStr">
        <is>
          <t>HO-000039</t>
        </is>
      </c>
      <c r="B40" t="inlineStr">
        <is>
          <t>T06</t>
        </is>
      </c>
      <c r="C40" t="inlineStr">
        <is>
          <t>MasonryVeneer</t>
        </is>
      </c>
      <c r="D40" t="n">
        <v>1</v>
      </c>
      <c r="E40" t="n">
        <v>2007</v>
      </c>
      <c r="F40" t="n">
        <v>22</v>
      </c>
      <c r="G40" t="n">
        <v>122052</v>
      </c>
      <c r="H40" t="n">
        <v>1500</v>
      </c>
      <c r="I40" t="n">
        <v>0.05</v>
      </c>
      <c r="J40" t="inlineStr">
        <is>
          <t>N</t>
        </is>
      </c>
      <c r="K40" t="inlineStr">
        <is>
          <t>Fortified</t>
        </is>
      </c>
      <c r="L40" t="n">
        <v>2</v>
      </c>
      <c r="M40" s="1" t="n">
        <v>46447</v>
      </c>
      <c r="N40" t="n">
        <v>6</v>
      </c>
    </row>
    <row r="41">
      <c r="A41" t="inlineStr">
        <is>
          <t>HO-000040</t>
        </is>
      </c>
      <c r="B41" t="inlineStr">
        <is>
          <t>T08</t>
        </is>
      </c>
      <c r="C41" t="inlineStr">
        <is>
          <t>MasonryVeneer</t>
        </is>
      </c>
      <c r="D41" t="n">
        <v>1</v>
      </c>
      <c r="E41" t="n">
        <v>1998</v>
      </c>
      <c r="F41" t="n">
        <v>23</v>
      </c>
      <c r="G41" t="n">
        <v>550000</v>
      </c>
      <c r="H41" t="n">
        <v>25000</v>
      </c>
      <c r="I41" t="n">
        <v>0.05</v>
      </c>
      <c r="K41" t="inlineStr">
        <is>
          <t>None</t>
        </is>
      </c>
      <c r="L41" t="n">
        <v>0</v>
      </c>
      <c r="M41" s="1" t="n">
        <v>46447</v>
      </c>
      <c r="N41" t="n">
        <v>6</v>
      </c>
    </row>
    <row r="42">
      <c r="A42" t="inlineStr">
        <is>
          <t>HO-000041</t>
        </is>
      </c>
      <c r="B42" t="inlineStr">
        <is>
          <t>T05</t>
        </is>
      </c>
      <c r="C42" t="inlineStr">
        <is>
          <t>MasonryVeneer</t>
        </is>
      </c>
      <c r="D42" t="n">
        <v>2</v>
      </c>
      <c r="E42" t="n">
        <v>1997</v>
      </c>
      <c r="F42" t="n">
        <v>21</v>
      </c>
      <c r="G42" t="n">
        <v>484000</v>
      </c>
      <c r="H42" t="n">
        <v>1000</v>
      </c>
      <c r="I42" t="n">
        <v>0.02</v>
      </c>
      <c r="K42" t="inlineStr">
        <is>
          <t>Basic</t>
        </is>
      </c>
      <c r="L42" t="n">
        <v>3</v>
      </c>
      <c r="M42" s="1" t="n">
        <v>46447</v>
      </c>
      <c r="N42" t="n">
        <v>12</v>
      </c>
    </row>
    <row r="43">
      <c r="A43" t="inlineStr">
        <is>
          <t>HO-000042</t>
        </is>
      </c>
      <c r="B43" t="inlineStr">
        <is>
          <t>T03</t>
        </is>
      </c>
      <c r="C43" t="inlineStr">
        <is>
          <t>MasonryVeneer</t>
        </is>
      </c>
      <c r="D43" t="n">
        <v>2</v>
      </c>
      <c r="E43" t="n">
        <v>1978</v>
      </c>
      <c r="F43" t="n">
        <v>12</v>
      </c>
      <c r="G43" t="n">
        <v>1557000</v>
      </c>
      <c r="H43" t="n">
        <v>1000</v>
      </c>
      <c r="M43" s="1" t="n">
        <v>46447</v>
      </c>
      <c r="N43" t="n">
        <v>12</v>
      </c>
    </row>
    <row r="44">
      <c r="A44" t="inlineStr">
        <is>
          <t>HO-000043</t>
        </is>
      </c>
      <c r="B44" t="inlineStr">
        <is>
          <t>T04</t>
        </is>
      </c>
      <c r="C44" t="inlineStr">
        <is>
          <t>FireResistive</t>
        </is>
      </c>
      <c r="D44" t="n">
        <v>6</v>
      </c>
      <c r="E44" t="n">
        <v>1977</v>
      </c>
      <c r="F44" t="n">
        <v>10</v>
      </c>
      <c r="G44" t="n">
        <v>1372145</v>
      </c>
      <c r="H44" t="n">
        <v>2500</v>
      </c>
      <c r="I44" t="n">
        <v>0.1</v>
      </c>
      <c r="K44" t="inlineStr">
        <is>
          <t>Fortified</t>
        </is>
      </c>
      <c r="M44" s="1" t="n">
        <v>46447</v>
      </c>
      <c r="N44" t="n">
        <v>6</v>
      </c>
    </row>
    <row r="45">
      <c r="A45" t="inlineStr">
        <is>
          <t>HO-000044</t>
        </is>
      </c>
      <c r="B45" t="inlineStr">
        <is>
          <t>T01</t>
        </is>
      </c>
      <c r="C45" t="inlineStr">
        <is>
          <t>FireResistive</t>
        </is>
      </c>
      <c r="D45" t="n">
        <v>6</v>
      </c>
      <c r="E45" t="n">
        <v>1953</v>
      </c>
      <c r="F45" t="n">
        <v>25</v>
      </c>
      <c r="G45" t="n">
        <v>516775</v>
      </c>
      <c r="H45" t="n">
        <v>2500</v>
      </c>
      <c r="I45" t="n">
        <v>0.03</v>
      </c>
      <c r="J45" t="inlineStr">
        <is>
          <t>y</t>
        </is>
      </c>
      <c r="K45" t="inlineStr">
        <is>
          <t>Fortified</t>
        </is>
      </c>
      <c r="L45" t="n">
        <v>0</v>
      </c>
      <c r="M45" s="1" t="n">
        <v>46447</v>
      </c>
      <c r="N45" t="n">
        <v>12</v>
      </c>
    </row>
    <row r="46">
      <c r="A46" t="inlineStr">
        <is>
          <t>HO-000045</t>
        </is>
      </c>
      <c r="B46" t="inlineStr">
        <is>
          <t>T07</t>
        </is>
      </c>
      <c r="C46" t="inlineStr">
        <is>
          <t>Frame</t>
        </is>
      </c>
      <c r="D46" t="n">
        <v>9</v>
      </c>
      <c r="E46" t="n">
        <v>1952</v>
      </c>
      <c r="F46" t="n">
        <v>16</v>
      </c>
      <c r="G46" t="n">
        <v>711000</v>
      </c>
      <c r="H46" t="n">
        <v>1500</v>
      </c>
      <c r="I46" t="n">
        <v>0.03</v>
      </c>
      <c r="J46" t="inlineStr">
        <is>
          <t>Y</t>
        </is>
      </c>
      <c r="K46" t="inlineStr">
        <is>
          <t>Fortified</t>
        </is>
      </c>
      <c r="L46" t="n">
        <v>3</v>
      </c>
      <c r="M46" s="1" t="n">
        <v>46447</v>
      </c>
      <c r="N46" t="n">
        <v>12</v>
      </c>
    </row>
    <row r="47">
      <c r="A47" t="inlineStr">
        <is>
          <t>HO-000046</t>
        </is>
      </c>
      <c r="B47" t="inlineStr">
        <is>
          <t>T06</t>
        </is>
      </c>
      <c r="C47" t="inlineStr">
        <is>
          <t>MasonryVeneer</t>
        </is>
      </c>
      <c r="D47" t="n">
        <v>3</v>
      </c>
      <c r="E47" t="n">
        <v>1926</v>
      </c>
      <c r="F47" t="n">
        <v>16</v>
      </c>
      <c r="G47" t="n">
        <v>639995</v>
      </c>
      <c r="H47" t="n">
        <v>25000</v>
      </c>
      <c r="J47" t="inlineStr">
        <is>
          <t>Y</t>
        </is>
      </c>
      <c r="K47" t="inlineStr">
        <is>
          <t>Basic</t>
        </is>
      </c>
      <c r="M47" s="1" t="n">
        <v>46447</v>
      </c>
      <c r="N47" t="n">
        <v>6</v>
      </c>
    </row>
    <row r="48">
      <c r="A48" t="inlineStr">
        <is>
          <t>HO-000047</t>
        </is>
      </c>
      <c r="B48" t="inlineStr">
        <is>
          <t>T04</t>
        </is>
      </c>
      <c r="C48" t="inlineStr">
        <is>
          <t>FireResistive</t>
        </is>
      </c>
      <c r="D48" t="n">
        <v>9</v>
      </c>
      <c r="E48" t="n">
        <v>2028</v>
      </c>
      <c r="F48" t="n">
        <v>3</v>
      </c>
      <c r="G48" t="n">
        <v>543082</v>
      </c>
      <c r="H48" t="n">
        <v>250</v>
      </c>
      <c r="I48" t="n">
        <v>0.02</v>
      </c>
      <c r="J48" t="inlineStr">
        <is>
          <t>Y</t>
        </is>
      </c>
      <c r="K48" t="inlineStr">
        <is>
          <t>Fortified</t>
        </is>
      </c>
      <c r="L48" t="n">
        <v>1</v>
      </c>
      <c r="M48" s="1" t="n">
        <v>46447</v>
      </c>
      <c r="N48" t="n">
        <v>6</v>
      </c>
    </row>
    <row r="49">
      <c r="A49" t="inlineStr">
        <is>
          <t>HO-000048</t>
        </is>
      </c>
      <c r="B49" t="inlineStr">
        <is>
          <t>T04</t>
        </is>
      </c>
      <c r="C49" t="inlineStr">
        <is>
          <t>Masonry</t>
        </is>
      </c>
      <c r="D49" t="n">
        <v>10</v>
      </c>
      <c r="E49" t="n">
        <v>1995</v>
      </c>
      <c r="G49" t="n">
        <v>413000</v>
      </c>
      <c r="H49" t="n">
        <v>25000</v>
      </c>
      <c r="I49" t="n">
        <v>0.03</v>
      </c>
      <c r="J49" t="inlineStr">
        <is>
          <t>Y</t>
        </is>
      </c>
      <c r="K49" t="inlineStr">
        <is>
          <t>None</t>
        </is>
      </c>
      <c r="L49" t="n">
        <v>1</v>
      </c>
      <c r="M49" s="1" t="n">
        <v>46568</v>
      </c>
      <c r="N49" t="n">
        <v>12</v>
      </c>
    </row>
    <row r="50">
      <c r="A50" t="inlineStr">
        <is>
          <t>HO-000049</t>
        </is>
      </c>
      <c r="B50" t="inlineStr">
        <is>
          <t>T03</t>
        </is>
      </c>
      <c r="C50" t="inlineStr">
        <is>
          <t>Masonry</t>
        </is>
      </c>
      <c r="D50" t="n">
        <v>5</v>
      </c>
      <c r="E50" t="n">
        <v>1994</v>
      </c>
      <c r="F50" t="n">
        <v>0</v>
      </c>
      <c r="G50" t="n">
        <v>368413</v>
      </c>
      <c r="H50" t="n">
        <v>1000</v>
      </c>
      <c r="I50" t="n">
        <v>0.02</v>
      </c>
      <c r="J50" t="inlineStr">
        <is>
          <t>Y</t>
        </is>
      </c>
      <c r="K50" t="inlineStr">
        <is>
          <t>Basic</t>
        </is>
      </c>
      <c r="L50" t="n">
        <v>0</v>
      </c>
      <c r="M50" s="1" t="n">
        <v>46862</v>
      </c>
      <c r="N50" t="n">
        <v>6</v>
      </c>
    </row>
    <row r="51">
      <c r="A51" t="inlineStr">
        <is>
          <t>HO-000050</t>
        </is>
      </c>
      <c r="B51" t="inlineStr">
        <is>
          <t>T08</t>
        </is>
      </c>
      <c r="C51" t="inlineStr">
        <is>
          <t>Frame</t>
        </is>
      </c>
      <c r="D51" t="n">
        <v>5</v>
      </c>
      <c r="E51" t="n">
        <v>1953</v>
      </c>
      <c r="F51" t="n">
        <v>5</v>
      </c>
      <c r="G51" t="n">
        <v>845000</v>
      </c>
      <c r="H51" t="n">
        <v>250</v>
      </c>
      <c r="I51" t="n">
        <v>0.1</v>
      </c>
      <c r="J51" t="inlineStr">
        <is>
          <t>N</t>
        </is>
      </c>
      <c r="K51" t="inlineStr">
        <is>
          <t>Fortified</t>
        </is>
      </c>
      <c r="L51" t="n">
        <v>0</v>
      </c>
      <c r="M51" s="1" t="n">
        <v>46679</v>
      </c>
      <c r="N51" t="n">
        <v>12</v>
      </c>
    </row>
    <row r="52">
      <c r="A52" t="inlineStr">
        <is>
          <t>HO-000051</t>
        </is>
      </c>
      <c r="B52" t="inlineStr">
        <is>
          <t>T01</t>
        </is>
      </c>
      <c r="C52" t="inlineStr">
        <is>
          <t>Frame</t>
        </is>
      </c>
      <c r="D52" t="n">
        <v>2</v>
      </c>
      <c r="E52" t="n">
        <v>1970</v>
      </c>
      <c r="F52" t="n">
        <v>6</v>
      </c>
      <c r="G52" t="n">
        <v>1564795</v>
      </c>
      <c r="H52" t="n">
        <v>5000</v>
      </c>
      <c r="J52" t="inlineStr">
        <is>
          <t>N</t>
        </is>
      </c>
      <c r="K52" t="inlineStr">
        <is>
          <t>fortified</t>
        </is>
      </c>
      <c r="L52" t="n">
        <v>0</v>
      </c>
      <c r="M52" s="1" t="n">
        <v>46505</v>
      </c>
      <c r="N52" t="n">
        <v>12</v>
      </c>
    </row>
    <row r="53">
      <c r="A53" t="inlineStr">
        <is>
          <t>HO-000052</t>
        </is>
      </c>
      <c r="B53" t="inlineStr">
        <is>
          <t>T07</t>
        </is>
      </c>
      <c r="C53" t="inlineStr">
        <is>
          <t>Masonry</t>
        </is>
      </c>
      <c r="D53" t="n">
        <v>3</v>
      </c>
      <c r="E53" t="n">
        <v>1955</v>
      </c>
      <c r="F53" t="n">
        <v>10</v>
      </c>
      <c r="G53" t="n">
        <v>1455000</v>
      </c>
      <c r="H53" t="n">
        <v>5000</v>
      </c>
      <c r="I53" t="n">
        <v>0.02</v>
      </c>
      <c r="J53" t="inlineStr">
        <is>
          <t>Y</t>
        </is>
      </c>
      <c r="L53" t="n">
        <v>2</v>
      </c>
      <c r="M53" s="1" t="n">
        <v>46455</v>
      </c>
      <c r="N53" t="n">
        <v>6</v>
      </c>
    </row>
    <row r="54">
      <c r="A54" t="inlineStr">
        <is>
          <t>HO-000053</t>
        </is>
      </c>
      <c r="B54" t="inlineStr">
        <is>
          <t>T06</t>
        </is>
      </c>
      <c r="C54" t="inlineStr">
        <is>
          <t>Masonry</t>
        </is>
      </c>
      <c r="D54" t="n">
        <v>5</v>
      </c>
      <c r="E54" t="n">
        <v>2005</v>
      </c>
      <c r="F54" t="n">
        <v>11</v>
      </c>
      <c r="G54" t="n">
        <v>1272343</v>
      </c>
      <c r="H54" t="n">
        <v>1000</v>
      </c>
      <c r="I54" t="n">
        <v>0.02</v>
      </c>
      <c r="J54" t="inlineStr">
        <is>
          <t>N</t>
        </is>
      </c>
      <c r="K54" t="inlineStr">
        <is>
          <t>None</t>
        </is>
      </c>
      <c r="L54" t="n">
        <v>0</v>
      </c>
      <c r="M54" s="1" t="n">
        <v>46899</v>
      </c>
      <c r="N54" t="n">
        <v>12</v>
      </c>
    </row>
    <row r="55">
      <c r="A55" t="inlineStr">
        <is>
          <t>HO-000054</t>
        </is>
      </c>
      <c r="B55" t="inlineStr">
        <is>
          <t>T03</t>
        </is>
      </c>
      <c r="C55" t="inlineStr">
        <is>
          <t>Frame</t>
        </is>
      </c>
      <c r="D55" t="n">
        <v>3</v>
      </c>
      <c r="E55" t="n">
        <v>1951</v>
      </c>
      <c r="F55" t="n">
        <v>15</v>
      </c>
      <c r="G55" t="n">
        <v>496989</v>
      </c>
      <c r="H55" t="n">
        <v>500</v>
      </c>
      <c r="I55" t="n">
        <v>0.03</v>
      </c>
      <c r="J55" t="inlineStr">
        <is>
          <t>N</t>
        </is>
      </c>
      <c r="K55" t="inlineStr">
        <is>
          <t>Fortified</t>
        </is>
      </c>
      <c r="L55" t="n">
        <v>1</v>
      </c>
      <c r="M55" s="1" t="n">
        <v>46754</v>
      </c>
      <c r="N55" t="n">
        <v>12</v>
      </c>
    </row>
    <row r="56">
      <c r="A56" t="inlineStr">
        <is>
          <t>HO-000055</t>
        </is>
      </c>
      <c r="B56" t="inlineStr">
        <is>
          <t>T01</t>
        </is>
      </c>
      <c r="C56" t="inlineStr">
        <is>
          <t>FireResistive</t>
        </is>
      </c>
      <c r="D56" t="n">
        <v>9</v>
      </c>
      <c r="E56" t="n">
        <v>1983</v>
      </c>
      <c r="F56" t="n">
        <v>16</v>
      </c>
      <c r="G56" t="n">
        <v>842775</v>
      </c>
      <c r="H56" t="n">
        <v>1000</v>
      </c>
      <c r="J56" t="inlineStr">
        <is>
          <t>N</t>
        </is>
      </c>
      <c r="K56" t="inlineStr">
        <is>
          <t>fortified</t>
        </is>
      </c>
      <c r="L56" t="n">
        <v>0</v>
      </c>
      <c r="M56" s="1" t="n">
        <v>46430</v>
      </c>
      <c r="N56" t="n">
        <v>12</v>
      </c>
    </row>
    <row r="57">
      <c r="A57" t="inlineStr">
        <is>
          <t>HO-000056</t>
        </is>
      </c>
      <c r="B57" t="inlineStr">
        <is>
          <t>T07</t>
        </is>
      </c>
      <c r="C57" t="inlineStr">
        <is>
          <t>Frame</t>
        </is>
      </c>
      <c r="D57" t="n">
        <v>9</v>
      </c>
      <c r="E57" t="n">
        <v>1966</v>
      </c>
      <c r="F57" t="n">
        <v>20</v>
      </c>
      <c r="G57" t="n">
        <v>621000</v>
      </c>
      <c r="H57" t="n">
        <v>250</v>
      </c>
      <c r="I57" t="n">
        <v>0.1</v>
      </c>
      <c r="K57" t="inlineStr">
        <is>
          <t>fortified</t>
        </is>
      </c>
      <c r="L57" t="n">
        <v>4</v>
      </c>
      <c r="M57" s="1" t="n">
        <v>46489</v>
      </c>
      <c r="N57" t="n">
        <v>12</v>
      </c>
    </row>
    <row r="58">
      <c r="A58" t="inlineStr">
        <is>
          <t>HO-000057</t>
        </is>
      </c>
      <c r="B58" t="inlineStr">
        <is>
          <t>T05</t>
        </is>
      </c>
      <c r="C58" t="inlineStr">
        <is>
          <t>MasonryVeneer</t>
        </is>
      </c>
      <c r="D58" t="n">
        <v>1</v>
      </c>
      <c r="E58" t="n">
        <v>1935</v>
      </c>
      <c r="F58" t="n">
        <v>21</v>
      </c>
      <c r="G58" t="n">
        <v>247325</v>
      </c>
      <c r="H58" t="n">
        <v>7500</v>
      </c>
      <c r="J58" t="inlineStr">
        <is>
          <t>y</t>
        </is>
      </c>
      <c r="K58" t="inlineStr">
        <is>
          <t>fortified</t>
        </is>
      </c>
      <c r="L58" t="n">
        <v>3</v>
      </c>
      <c r="M58" s="1" t="n">
        <v>46856</v>
      </c>
      <c r="N58" t="n">
        <v>6</v>
      </c>
    </row>
    <row r="59">
      <c r="A59" t="inlineStr">
        <is>
          <t>HO-000058</t>
        </is>
      </c>
      <c r="B59" t="inlineStr">
        <is>
          <t>T01</t>
        </is>
      </c>
      <c r="C59" t="inlineStr">
        <is>
          <t>Masonry</t>
        </is>
      </c>
      <c r="D59" t="n">
        <v>6</v>
      </c>
      <c r="E59" t="n">
        <v>1942</v>
      </c>
      <c r="F59" t="n">
        <v>22</v>
      </c>
      <c r="G59" t="n">
        <v>315000</v>
      </c>
      <c r="H59" t="n">
        <v>1000</v>
      </c>
      <c r="I59" t="n">
        <v>0.03</v>
      </c>
      <c r="K59" t="inlineStr">
        <is>
          <t>None</t>
        </is>
      </c>
      <c r="M59" s="1" t="n">
        <v>46576</v>
      </c>
      <c r="N59" t="n">
        <v>12</v>
      </c>
    </row>
    <row r="60">
      <c r="A60" t="inlineStr">
        <is>
          <t>HO-000059</t>
        </is>
      </c>
      <c r="B60" t="inlineStr">
        <is>
          <t>T02</t>
        </is>
      </c>
      <c r="C60" t="inlineStr">
        <is>
          <t>MasonryVeneer</t>
        </is>
      </c>
      <c r="D60" t="n">
        <v>3</v>
      </c>
      <c r="E60" t="n">
        <v>1964</v>
      </c>
      <c r="F60" t="n">
        <v>29</v>
      </c>
      <c r="G60" t="n">
        <v>607527</v>
      </c>
      <c r="H60" t="n">
        <v>250</v>
      </c>
      <c r="J60" t="inlineStr">
        <is>
          <t>y</t>
        </is>
      </c>
      <c r="K60" t="inlineStr">
        <is>
          <t>Basic</t>
        </is>
      </c>
      <c r="L60" t="n">
        <v>4</v>
      </c>
      <c r="M60" s="1" t="n">
        <v>46793</v>
      </c>
      <c r="N60" t="n">
        <v>12</v>
      </c>
    </row>
    <row r="61">
      <c r="A61" t="inlineStr">
        <is>
          <t>HO-000060</t>
        </is>
      </c>
      <c r="B61" t="inlineStr">
        <is>
          <t>T01</t>
        </is>
      </c>
      <c r="C61" t="inlineStr">
        <is>
          <t>FireResistive</t>
        </is>
      </c>
      <c r="D61" t="n">
        <v>4</v>
      </c>
      <c r="E61" t="n">
        <v>2001</v>
      </c>
      <c r="F61" t="n">
        <v>4</v>
      </c>
      <c r="G61" t="n">
        <v>998000</v>
      </c>
      <c r="H61" t="n">
        <v>7500</v>
      </c>
      <c r="I61" t="n">
        <v>0.02</v>
      </c>
      <c r="J61" t="inlineStr">
        <is>
          <t>Y</t>
        </is>
      </c>
      <c r="L61" t="n">
        <v>3</v>
      </c>
      <c r="M61" s="1" t="n">
        <v>46451</v>
      </c>
      <c r="N61" t="n">
        <v>12</v>
      </c>
    </row>
    <row r="62">
      <c r="A62" t="inlineStr">
        <is>
          <t>HO-000061</t>
        </is>
      </c>
      <c r="B62" t="inlineStr">
        <is>
          <t>T04</t>
        </is>
      </c>
      <c r="C62" t="inlineStr">
        <is>
          <t>FireResistive</t>
        </is>
      </c>
      <c r="D62" t="n">
        <v>1</v>
      </c>
      <c r="E62" t="n">
        <v>1992</v>
      </c>
      <c r="F62" t="n">
        <v>13</v>
      </c>
      <c r="G62" t="n">
        <v>387000</v>
      </c>
      <c r="H62" t="n">
        <v>1500</v>
      </c>
      <c r="I62" t="n">
        <v>0.05</v>
      </c>
      <c r="M62" s="1" t="n">
        <v>46533</v>
      </c>
      <c r="N62" t="n">
        <v>12</v>
      </c>
    </row>
    <row r="63">
      <c r="A63" t="inlineStr">
        <is>
          <t>HO-000062</t>
        </is>
      </c>
      <c r="B63" t="inlineStr">
        <is>
          <t>T03</t>
        </is>
      </c>
      <c r="C63" t="inlineStr">
        <is>
          <t>Frame</t>
        </is>
      </c>
      <c r="D63" t="n">
        <v>10</v>
      </c>
      <c r="E63" t="n">
        <v>1972</v>
      </c>
      <c r="F63" t="n">
        <v>24</v>
      </c>
      <c r="G63" t="n">
        <v>544000</v>
      </c>
      <c r="H63" t="n">
        <v>1500</v>
      </c>
      <c r="I63" t="n">
        <v>0.1</v>
      </c>
      <c r="J63" t="inlineStr">
        <is>
          <t>y</t>
        </is>
      </c>
      <c r="L63" t="n">
        <v>0</v>
      </c>
      <c r="M63" s="1" t="n">
        <v>46639</v>
      </c>
      <c r="N63" t="n">
        <v>12</v>
      </c>
    </row>
    <row r="64">
      <c r="A64" t="inlineStr">
        <is>
          <t>HO-000063</t>
        </is>
      </c>
      <c r="B64" t="inlineStr">
        <is>
          <t>T07</t>
        </is>
      </c>
      <c r="C64" t="inlineStr">
        <is>
          <t>FireResistive</t>
        </is>
      </c>
      <c r="D64" t="n">
        <v>1</v>
      </c>
      <c r="E64" t="n">
        <v>1956</v>
      </c>
      <c r="F64" t="n">
        <v>5</v>
      </c>
      <c r="G64" t="n">
        <v>204000</v>
      </c>
      <c r="H64" t="n">
        <v>1500</v>
      </c>
      <c r="I64" t="n">
        <v>0.03</v>
      </c>
      <c r="K64" t="inlineStr">
        <is>
          <t>None</t>
        </is>
      </c>
      <c r="L64" t="n">
        <v>1</v>
      </c>
      <c r="M64" s="1" t="n">
        <v>46847</v>
      </c>
      <c r="N64" t="n">
        <v>12</v>
      </c>
    </row>
    <row r="65">
      <c r="A65" t="inlineStr">
        <is>
          <t>HO-000064</t>
        </is>
      </c>
      <c r="B65" t="inlineStr">
        <is>
          <t>T04</t>
        </is>
      </c>
      <c r="C65" t="inlineStr">
        <is>
          <t>Frame</t>
        </is>
      </c>
      <c r="D65" t="n">
        <v>8</v>
      </c>
      <c r="E65" t="n">
        <v>1995</v>
      </c>
      <c r="F65" t="n">
        <v>20</v>
      </c>
      <c r="G65" t="n">
        <v>845891</v>
      </c>
      <c r="H65" t="n">
        <v>1500</v>
      </c>
      <c r="J65" t="inlineStr">
        <is>
          <t>Y</t>
        </is>
      </c>
      <c r="M65" s="1" t="n">
        <v>46060</v>
      </c>
      <c r="N65" t="n">
        <v>12</v>
      </c>
    </row>
    <row r="66">
      <c r="A66" t="inlineStr">
        <is>
          <t>HO-000065</t>
        </is>
      </c>
      <c r="B66" t="inlineStr">
        <is>
          <t>T03</t>
        </is>
      </c>
      <c r="C66" t="inlineStr">
        <is>
          <t>Frame</t>
        </is>
      </c>
      <c r="D66" t="n">
        <v>5</v>
      </c>
      <c r="E66" t="n">
        <v>1951</v>
      </c>
      <c r="G66" t="n">
        <v>687000</v>
      </c>
      <c r="H66" t="n">
        <v>250</v>
      </c>
      <c r="I66" t="n">
        <v>0.05</v>
      </c>
      <c r="J66" t="inlineStr">
        <is>
          <t>y</t>
        </is>
      </c>
      <c r="K66" t="inlineStr">
        <is>
          <t>fortified</t>
        </is>
      </c>
      <c r="L66" t="n">
        <v>0</v>
      </c>
      <c r="M66" s="1" t="n">
        <v>46116</v>
      </c>
      <c r="N66" t="n">
        <v>12</v>
      </c>
    </row>
    <row r="67">
      <c r="A67" t="inlineStr">
        <is>
          <t>HO-000066</t>
        </is>
      </c>
      <c r="B67" t="inlineStr">
        <is>
          <t>T01</t>
        </is>
      </c>
      <c r="C67" t="inlineStr">
        <is>
          <t>MasonryVeneer</t>
        </is>
      </c>
      <c r="D67" t="n">
        <v>4</v>
      </c>
      <c r="E67" t="n">
        <v>1993</v>
      </c>
      <c r="F67" t="n">
        <v>11</v>
      </c>
      <c r="G67" t="n">
        <v>1050000</v>
      </c>
      <c r="H67" t="n">
        <v>500</v>
      </c>
      <c r="J67" t="inlineStr">
        <is>
          <t>N</t>
        </is>
      </c>
      <c r="L67" t="n">
        <v>4</v>
      </c>
      <c r="M67" s="1" t="n">
        <v>46530</v>
      </c>
      <c r="N67" t="n">
        <v>12</v>
      </c>
    </row>
    <row r="68">
      <c r="A68" t="inlineStr">
        <is>
          <t>HO-000067</t>
        </is>
      </c>
      <c r="B68" t="inlineStr">
        <is>
          <t>T03</t>
        </is>
      </c>
      <c r="C68" t="inlineStr">
        <is>
          <t>Masonry</t>
        </is>
      </c>
      <c r="D68" t="n">
        <v>4</v>
      </c>
      <c r="E68" t="n">
        <v>1946</v>
      </c>
      <c r="F68" t="n">
        <v>16</v>
      </c>
      <c r="G68" t="n">
        <v>1158742</v>
      </c>
      <c r="H68" t="n">
        <v>10000</v>
      </c>
      <c r="I68" t="n">
        <v>0.05</v>
      </c>
      <c r="L68" t="n">
        <v>0</v>
      </c>
      <c r="M68" s="1" t="n">
        <v>46474</v>
      </c>
      <c r="N68" t="n">
        <v>12</v>
      </c>
    </row>
    <row r="69">
      <c r="A69" t="inlineStr">
        <is>
          <t>HO-000068</t>
        </is>
      </c>
      <c r="B69" t="inlineStr">
        <is>
          <t>T02</t>
        </is>
      </c>
      <c r="C69" t="inlineStr">
        <is>
          <t>Masonry</t>
        </is>
      </c>
      <c r="D69" t="n">
        <v>10</v>
      </c>
      <c r="E69" t="n">
        <v>1991</v>
      </c>
      <c r="F69" t="n">
        <v>23</v>
      </c>
      <c r="G69" t="n">
        <v>598000</v>
      </c>
      <c r="H69" t="n">
        <v>25000</v>
      </c>
      <c r="I69" t="n">
        <v>0.05</v>
      </c>
      <c r="J69" t="inlineStr">
        <is>
          <t>Yes</t>
        </is>
      </c>
      <c r="L69" t="n">
        <v>4</v>
      </c>
      <c r="M69" s="1" t="n">
        <v>46375</v>
      </c>
      <c r="N69" t="n">
        <v>12</v>
      </c>
    </row>
    <row r="70">
      <c r="A70" t="inlineStr">
        <is>
          <t>HO-000069</t>
        </is>
      </c>
      <c r="B70" t="inlineStr">
        <is>
          <t>T01</t>
        </is>
      </c>
      <c r="C70" t="inlineStr">
        <is>
          <t>FireResistive</t>
        </is>
      </c>
      <c r="D70" t="n">
        <v>2</v>
      </c>
      <c r="E70" t="n">
        <v>2014</v>
      </c>
      <c r="F70" t="n">
        <v>14</v>
      </c>
      <c r="G70" t="n">
        <v>977929</v>
      </c>
      <c r="H70" t="n">
        <v>1500</v>
      </c>
      <c r="I70" t="n">
        <v>0.05</v>
      </c>
      <c r="J70" t="inlineStr">
        <is>
          <t>Y</t>
        </is>
      </c>
      <c r="K70" t="inlineStr">
        <is>
          <t>None</t>
        </is>
      </c>
      <c r="M70" s="1" t="n">
        <v>46165</v>
      </c>
      <c r="N70" t="n">
        <v>12</v>
      </c>
    </row>
    <row r="71">
      <c r="A71" t="inlineStr">
        <is>
          <t>HO-000070</t>
        </is>
      </c>
      <c r="B71" t="inlineStr">
        <is>
          <t>T02</t>
        </is>
      </c>
      <c r="C71" t="inlineStr">
        <is>
          <t>FireResistive</t>
        </is>
      </c>
      <c r="D71" t="n">
        <v>4</v>
      </c>
      <c r="E71" t="n">
        <v>1963</v>
      </c>
      <c r="F71" t="n">
        <v>18</v>
      </c>
      <c r="G71" t="n">
        <v>1483000</v>
      </c>
      <c r="H71" t="n">
        <v>2500</v>
      </c>
      <c r="I71" t="n">
        <v>0.03</v>
      </c>
      <c r="J71" t="inlineStr">
        <is>
          <t>Y</t>
        </is>
      </c>
      <c r="K71" t="inlineStr">
        <is>
          <t>Basic</t>
        </is>
      </c>
      <c r="L71" t="n">
        <v>1</v>
      </c>
      <c r="M71" s="1" t="n">
        <v>46266</v>
      </c>
      <c r="N71" t="n">
        <v>12</v>
      </c>
    </row>
    <row r="72">
      <c r="A72" t="inlineStr">
        <is>
          <t>HO-000071</t>
        </is>
      </c>
      <c r="B72" t="inlineStr">
        <is>
          <t>T08</t>
        </is>
      </c>
      <c r="C72" t="inlineStr">
        <is>
          <t>Frame</t>
        </is>
      </c>
      <c r="D72" t="n">
        <v>4</v>
      </c>
      <c r="E72" t="n">
        <v>2010</v>
      </c>
      <c r="F72" t="n">
        <v>14</v>
      </c>
      <c r="G72" t="n">
        <v>1373607</v>
      </c>
      <c r="H72" t="n">
        <v>1000</v>
      </c>
      <c r="J72" t="inlineStr">
        <is>
          <t>N</t>
        </is>
      </c>
      <c r="K72" t="inlineStr">
        <is>
          <t>Fortified</t>
        </is>
      </c>
      <c r="L72" t="n">
        <v>4</v>
      </c>
      <c r="M72" s="1" t="n">
        <v>46754</v>
      </c>
      <c r="N72" t="n">
        <v>12</v>
      </c>
    </row>
    <row r="73">
      <c r="A73" t="inlineStr">
        <is>
          <t>HO-000072</t>
        </is>
      </c>
      <c r="B73" t="inlineStr">
        <is>
          <t>T07</t>
        </is>
      </c>
      <c r="C73" t="inlineStr">
        <is>
          <t>MasonryVeneer</t>
        </is>
      </c>
      <c r="D73" t="n">
        <v>1</v>
      </c>
      <c r="E73" t="n">
        <v>1981</v>
      </c>
      <c r="F73" t="n">
        <v>18</v>
      </c>
      <c r="G73" t="n">
        <v>415757</v>
      </c>
      <c r="H73" t="n">
        <v>25000</v>
      </c>
      <c r="J73" t="inlineStr">
        <is>
          <t>y</t>
        </is>
      </c>
      <c r="K73" t="inlineStr">
        <is>
          <t>fortified</t>
        </is>
      </c>
      <c r="L73" t="n">
        <v>0</v>
      </c>
      <c r="M73" s="1" t="n">
        <v>46174</v>
      </c>
      <c r="N73" t="n">
        <v>12</v>
      </c>
    </row>
    <row r="74">
      <c r="A74" t="inlineStr">
        <is>
          <t>HO-000073</t>
        </is>
      </c>
      <c r="B74" t="inlineStr">
        <is>
          <t>T06</t>
        </is>
      </c>
      <c r="C74" t="inlineStr">
        <is>
          <t>FireResistive</t>
        </is>
      </c>
      <c r="D74" t="n">
        <v>2</v>
      </c>
      <c r="E74" t="n">
        <v>1974</v>
      </c>
      <c r="F74" t="n">
        <v>29</v>
      </c>
      <c r="G74" t="n">
        <v>1020185</v>
      </c>
      <c r="H74" t="n">
        <v>2500</v>
      </c>
      <c r="I74" t="n">
        <v>0.05</v>
      </c>
      <c r="J74" t="inlineStr">
        <is>
          <t>y</t>
        </is>
      </c>
      <c r="K74" t="inlineStr">
        <is>
          <t>BASIC</t>
        </is>
      </c>
      <c r="L74" t="n">
        <v>2</v>
      </c>
      <c r="M74" s="1" t="n">
        <v>46255</v>
      </c>
      <c r="N74" t="n">
        <v>6</v>
      </c>
    </row>
    <row r="75">
      <c r="A75" t="inlineStr">
        <is>
          <t>HO-000074</t>
        </is>
      </c>
      <c r="B75" t="inlineStr">
        <is>
          <t>T06</t>
        </is>
      </c>
      <c r="C75" t="inlineStr">
        <is>
          <t>Masonry</t>
        </is>
      </c>
      <c r="D75" t="n">
        <v>2</v>
      </c>
      <c r="E75" t="n">
        <v>2003</v>
      </c>
      <c r="F75" t="n">
        <v>16</v>
      </c>
      <c r="G75" t="n">
        <v>162000</v>
      </c>
      <c r="H75" t="n">
        <v>2500</v>
      </c>
      <c r="I75" t="n">
        <v>0.1</v>
      </c>
      <c r="J75" t="inlineStr">
        <is>
          <t>N</t>
        </is>
      </c>
      <c r="L75" t="n">
        <v>0</v>
      </c>
      <c r="M75" s="1" t="n">
        <v>46326</v>
      </c>
      <c r="N75" t="n">
        <v>12</v>
      </c>
    </row>
    <row r="76">
      <c r="A76" t="inlineStr">
        <is>
          <t>HO-000075</t>
        </is>
      </c>
      <c r="B76" t="inlineStr">
        <is>
          <t>T07</t>
        </is>
      </c>
      <c r="C76" t="inlineStr">
        <is>
          <t>Masonry</t>
        </is>
      </c>
      <c r="D76" t="n">
        <v>10</v>
      </c>
      <c r="E76" t="n">
        <v>1967</v>
      </c>
      <c r="F76" t="n">
        <v>19</v>
      </c>
      <c r="G76" t="n">
        <v>1198000</v>
      </c>
      <c r="H76" t="n">
        <v>7500</v>
      </c>
      <c r="I76" t="n">
        <v>0.03</v>
      </c>
      <c r="K76" t="inlineStr">
        <is>
          <t>fortified</t>
        </is>
      </c>
      <c r="M76" s="1" t="n">
        <v>46258</v>
      </c>
      <c r="N76" t="n">
        <v>6</v>
      </c>
    </row>
    <row r="77">
      <c r="A77" t="inlineStr">
        <is>
          <t>HO-000076</t>
        </is>
      </c>
      <c r="B77" t="inlineStr">
        <is>
          <t>T05</t>
        </is>
      </c>
      <c r="C77" t="inlineStr">
        <is>
          <t>MasonryVeneer</t>
        </is>
      </c>
      <c r="D77" t="n">
        <v>8</v>
      </c>
      <c r="E77" t="n">
        <v>1956</v>
      </c>
      <c r="F77" t="n">
        <v>4</v>
      </c>
      <c r="G77" t="n">
        <v>1141000</v>
      </c>
      <c r="H77" t="n">
        <v>7500</v>
      </c>
      <c r="I77" t="n">
        <v>0.02</v>
      </c>
      <c r="K77" t="inlineStr">
        <is>
          <t>Basic</t>
        </is>
      </c>
      <c r="L77" t="n">
        <v>0</v>
      </c>
      <c r="M77" s="1" t="n">
        <v>46733</v>
      </c>
      <c r="N77" t="n">
        <v>12</v>
      </c>
    </row>
    <row r="78">
      <c r="A78" t="inlineStr">
        <is>
          <t>HO-000077</t>
        </is>
      </c>
      <c r="B78" t="inlineStr">
        <is>
          <t>T07</t>
        </is>
      </c>
      <c r="C78" t="inlineStr">
        <is>
          <t>FireResistive</t>
        </is>
      </c>
      <c r="D78" t="n">
        <v>1</v>
      </c>
      <c r="E78" t="n">
        <v>2003</v>
      </c>
      <c r="F78" t="n">
        <v>8</v>
      </c>
      <c r="G78" t="n">
        <v>1351215</v>
      </c>
      <c r="H78" t="n">
        <v>1500</v>
      </c>
      <c r="I78" t="n">
        <v>0.05</v>
      </c>
      <c r="J78" t="inlineStr">
        <is>
          <t>y</t>
        </is>
      </c>
      <c r="K78" t="inlineStr">
        <is>
          <t>Basic</t>
        </is>
      </c>
      <c r="L78" t="n">
        <v>1</v>
      </c>
      <c r="M78" s="1" t="n">
        <v>46478</v>
      </c>
      <c r="N78" t="n">
        <v>12</v>
      </c>
    </row>
    <row r="79">
      <c r="A79" t="inlineStr">
        <is>
          <t>HO-000078</t>
        </is>
      </c>
      <c r="B79" t="inlineStr">
        <is>
          <t>T06</t>
        </is>
      </c>
      <c r="C79" t="inlineStr">
        <is>
          <t>MasonryVeneer</t>
        </is>
      </c>
      <c r="D79" t="n">
        <v>7</v>
      </c>
      <c r="E79" t="n">
        <v>1992</v>
      </c>
      <c r="F79" t="n">
        <v>6</v>
      </c>
      <c r="G79" t="n">
        <v>983485</v>
      </c>
      <c r="H79" t="n">
        <v>10000</v>
      </c>
      <c r="I79" t="n">
        <v>0.03</v>
      </c>
      <c r="K79" t="inlineStr">
        <is>
          <t>Basic</t>
        </is>
      </c>
      <c r="L79" t="n">
        <v>2</v>
      </c>
      <c r="M79" s="1" t="n">
        <v>46843</v>
      </c>
      <c r="N79" t="n">
        <v>6</v>
      </c>
    </row>
    <row r="80">
      <c r="A80" t="inlineStr">
        <is>
          <t>HO-000079</t>
        </is>
      </c>
      <c r="B80" t="inlineStr">
        <is>
          <t>T01</t>
        </is>
      </c>
      <c r="C80" t="inlineStr">
        <is>
          <t>Frame</t>
        </is>
      </c>
      <c r="D80" t="n">
        <v>4</v>
      </c>
      <c r="E80" t="n">
        <v>1952</v>
      </c>
      <c r="F80" t="n">
        <v>4</v>
      </c>
      <c r="G80" t="n">
        <v>1395565</v>
      </c>
      <c r="H80" t="n">
        <v>250</v>
      </c>
      <c r="I80" t="n">
        <v>0.02</v>
      </c>
      <c r="J80" t="inlineStr">
        <is>
          <t>y</t>
        </is>
      </c>
      <c r="K80" t="inlineStr">
        <is>
          <t>fortified</t>
        </is>
      </c>
      <c r="L80" t="n">
        <v>3</v>
      </c>
      <c r="M80" s="1" t="n">
        <v>46387</v>
      </c>
      <c r="N80" t="n">
        <v>12</v>
      </c>
    </row>
    <row r="81">
      <c r="A81" t="inlineStr">
        <is>
          <t>HO-000080</t>
        </is>
      </c>
      <c r="B81" t="inlineStr">
        <is>
          <t>T02</t>
        </is>
      </c>
      <c r="C81" t="inlineStr">
        <is>
          <t>Frame</t>
        </is>
      </c>
      <c r="D81" t="n">
        <v>2</v>
      </c>
      <c r="E81" t="n">
        <v>1952</v>
      </c>
      <c r="F81" t="n">
        <v>11</v>
      </c>
      <c r="G81" t="n">
        <v>1059163</v>
      </c>
      <c r="H81" t="n">
        <v>25000</v>
      </c>
      <c r="I81" t="n">
        <v>0.03</v>
      </c>
      <c r="J81" t="inlineStr">
        <is>
          <t>Y</t>
        </is>
      </c>
      <c r="L81" t="n">
        <v>4</v>
      </c>
      <c r="M81" s="1" t="n">
        <v>46054</v>
      </c>
      <c r="N81" t="n">
        <v>12</v>
      </c>
    </row>
    <row r="82">
      <c r="A82" t="inlineStr">
        <is>
          <t>HO-000081</t>
        </is>
      </c>
      <c r="B82" t="inlineStr">
        <is>
          <t>T01</t>
        </is>
      </c>
      <c r="C82" t="inlineStr">
        <is>
          <t>Frame</t>
        </is>
      </c>
      <c r="D82" t="n">
        <v>2</v>
      </c>
      <c r="E82" t="n">
        <v>2022</v>
      </c>
      <c r="F82" t="n">
        <v>9</v>
      </c>
      <c r="G82" t="n">
        <v>416000</v>
      </c>
      <c r="H82" t="n">
        <v>25000</v>
      </c>
      <c r="I82" t="n">
        <v>0.1</v>
      </c>
      <c r="J82" t="inlineStr">
        <is>
          <t>Y</t>
        </is>
      </c>
      <c r="K82" t="inlineStr">
        <is>
          <t>None</t>
        </is>
      </c>
      <c r="L82" t="n">
        <v>7</v>
      </c>
      <c r="M82" s="1" t="n">
        <v>46341</v>
      </c>
      <c r="N82" t="n">
        <v>6</v>
      </c>
    </row>
    <row r="83">
      <c r="A83" t="inlineStr">
        <is>
          <t>HO-000082</t>
        </is>
      </c>
      <c r="B83" t="inlineStr">
        <is>
          <t>T03</t>
        </is>
      </c>
      <c r="C83" t="inlineStr">
        <is>
          <t>Frame</t>
        </is>
      </c>
      <c r="D83" t="n">
        <v>2</v>
      </c>
      <c r="E83" t="n">
        <v>1969</v>
      </c>
      <c r="F83" t="n">
        <v>6</v>
      </c>
      <c r="G83" t="n">
        <v>1029794</v>
      </c>
      <c r="H83" t="n">
        <v>1000</v>
      </c>
      <c r="I83" t="n">
        <v>0.03</v>
      </c>
      <c r="J83" t="inlineStr">
        <is>
          <t>y</t>
        </is>
      </c>
      <c r="K83" t="inlineStr">
        <is>
          <t>Basic</t>
        </is>
      </c>
      <c r="L83" t="n">
        <v>0</v>
      </c>
      <c r="M83" s="1" t="n">
        <v>46372</v>
      </c>
      <c r="N83" t="n">
        <v>12</v>
      </c>
    </row>
    <row r="84">
      <c r="A84" t="inlineStr">
        <is>
          <t>HO-000083</t>
        </is>
      </c>
      <c r="B84" t="inlineStr">
        <is>
          <t>T08</t>
        </is>
      </c>
      <c r="C84" t="inlineStr">
        <is>
          <t>Masonry</t>
        </is>
      </c>
      <c r="D84" t="n">
        <v>2</v>
      </c>
      <c r="E84" t="n">
        <v>1981</v>
      </c>
      <c r="F84" t="n">
        <v>14</v>
      </c>
      <c r="G84" t="n">
        <v>1041244</v>
      </c>
      <c r="H84" t="n">
        <v>5000</v>
      </c>
      <c r="J84" t="inlineStr">
        <is>
          <t>Y</t>
        </is>
      </c>
      <c r="L84" t="n">
        <v>0</v>
      </c>
      <c r="M84" s="1" t="n">
        <v>46725</v>
      </c>
      <c r="N84" t="n">
        <v>6</v>
      </c>
    </row>
    <row r="85">
      <c r="A85" t="inlineStr">
        <is>
          <t>HO-000084</t>
        </is>
      </c>
      <c r="B85" t="inlineStr">
        <is>
          <t>T02</t>
        </is>
      </c>
      <c r="C85" t="inlineStr">
        <is>
          <t>MasonryVeneer</t>
        </is>
      </c>
      <c r="D85" t="n">
        <v>9</v>
      </c>
      <c r="E85" t="n">
        <v>1992</v>
      </c>
      <c r="F85" t="n">
        <v>6</v>
      </c>
      <c r="G85" t="n">
        <v>328538</v>
      </c>
      <c r="H85" t="n">
        <v>1000</v>
      </c>
      <c r="J85" t="inlineStr">
        <is>
          <t>N</t>
        </is>
      </c>
      <c r="K85" t="inlineStr">
        <is>
          <t>fortified</t>
        </is>
      </c>
      <c r="L85" t="n">
        <v>1</v>
      </c>
      <c r="M85" s="1" t="n">
        <v>46678</v>
      </c>
      <c r="N85" t="n">
        <v>12</v>
      </c>
    </row>
    <row r="86">
      <c r="A86" t="inlineStr">
        <is>
          <t>HO-000085</t>
        </is>
      </c>
      <c r="B86" t="inlineStr">
        <is>
          <t>T07</t>
        </is>
      </c>
      <c r="C86" t="inlineStr">
        <is>
          <t>FireResistive</t>
        </is>
      </c>
      <c r="D86" t="n">
        <v>4</v>
      </c>
      <c r="E86" t="n">
        <v>1971</v>
      </c>
      <c r="F86" t="n">
        <v>28</v>
      </c>
      <c r="G86" t="n">
        <v>255000</v>
      </c>
      <c r="H86" t="n">
        <v>7500</v>
      </c>
      <c r="I86" t="n">
        <v>0.03</v>
      </c>
      <c r="K86" t="inlineStr">
        <is>
          <t>Fortified</t>
        </is>
      </c>
      <c r="L86" t="n">
        <v>2</v>
      </c>
      <c r="M86" s="1" t="n">
        <v>46817</v>
      </c>
      <c r="N86" t="n">
        <v>12</v>
      </c>
    </row>
    <row r="87">
      <c r="A87" t="inlineStr">
        <is>
          <t>HO-000086</t>
        </is>
      </c>
      <c r="B87" t="inlineStr">
        <is>
          <t>T03</t>
        </is>
      </c>
      <c r="C87" t="inlineStr">
        <is>
          <t>frame</t>
        </is>
      </c>
      <c r="D87" t="n">
        <v>5</v>
      </c>
      <c r="E87" t="n">
        <v>1929</v>
      </c>
      <c r="F87" t="n">
        <v>16</v>
      </c>
      <c r="G87" t="n">
        <v>627945</v>
      </c>
      <c r="H87" t="n">
        <v>2500</v>
      </c>
      <c r="I87" t="n">
        <v>0.1</v>
      </c>
      <c r="K87" t="inlineStr">
        <is>
          <t>Basic</t>
        </is>
      </c>
      <c r="L87" t="n">
        <v>3</v>
      </c>
      <c r="M87" s="1" t="n">
        <v>46262</v>
      </c>
      <c r="N87" t="n">
        <v>12</v>
      </c>
    </row>
    <row r="88">
      <c r="A88" t="inlineStr">
        <is>
          <t>HO-000087</t>
        </is>
      </c>
      <c r="B88" t="inlineStr">
        <is>
          <t>T05</t>
        </is>
      </c>
      <c r="C88" t="inlineStr">
        <is>
          <t>MASONRY</t>
        </is>
      </c>
      <c r="D88" t="n">
        <v>5</v>
      </c>
      <c r="E88" t="n">
        <v>1939</v>
      </c>
      <c r="F88" t="n">
        <v>26</v>
      </c>
      <c r="G88" t="n">
        <v>1341000</v>
      </c>
      <c r="H88" t="n">
        <v>2500</v>
      </c>
      <c r="I88" t="n">
        <v>0.03</v>
      </c>
      <c r="J88" t="inlineStr">
        <is>
          <t>Y</t>
        </is>
      </c>
      <c r="K88" t="inlineStr">
        <is>
          <t>Fortified</t>
        </is>
      </c>
      <c r="L88" t="n">
        <v>1</v>
      </c>
      <c r="M88" s="1" t="n">
        <v>46389</v>
      </c>
      <c r="N88" t="n">
        <v>12</v>
      </c>
    </row>
    <row r="89">
      <c r="A89" t="inlineStr">
        <is>
          <t>HO-000088</t>
        </is>
      </c>
      <c r="B89" t="inlineStr">
        <is>
          <t>T06</t>
        </is>
      </c>
      <c r="C89" t="inlineStr">
        <is>
          <t>FireResistive</t>
        </is>
      </c>
      <c r="D89" t="n">
        <v>1</v>
      </c>
      <c r="E89" t="n">
        <v>2003</v>
      </c>
      <c r="F89" t="n">
        <v>13</v>
      </c>
      <c r="G89" t="n">
        <v>1346000</v>
      </c>
      <c r="H89" t="n">
        <v>5000</v>
      </c>
      <c r="I89" t="n">
        <v>0.1</v>
      </c>
      <c r="J89" t="inlineStr">
        <is>
          <t>y</t>
        </is>
      </c>
      <c r="K89" t="inlineStr">
        <is>
          <t>fortified</t>
        </is>
      </c>
      <c r="L89" t="n">
        <v>1</v>
      </c>
      <c r="M89" s="1" t="n">
        <v>46699</v>
      </c>
      <c r="N89" t="n">
        <v>6</v>
      </c>
    </row>
    <row r="90">
      <c r="A90" t="inlineStr">
        <is>
          <t>HO-000089</t>
        </is>
      </c>
      <c r="B90" t="inlineStr">
        <is>
          <t>T01</t>
        </is>
      </c>
      <c r="C90" t="inlineStr">
        <is>
          <t>MasonryVeneer</t>
        </is>
      </c>
      <c r="D90" t="n">
        <v>2</v>
      </c>
      <c r="E90" t="n">
        <v>2019</v>
      </c>
      <c r="F90" t="n">
        <v>10</v>
      </c>
      <c r="G90" t="n">
        <v>614000</v>
      </c>
      <c r="H90" t="n">
        <v>5000</v>
      </c>
      <c r="I90" t="n">
        <v>0.1</v>
      </c>
      <c r="J90" t="inlineStr">
        <is>
          <t>y</t>
        </is>
      </c>
      <c r="K90" t="inlineStr">
        <is>
          <t>None</t>
        </is>
      </c>
      <c r="M90" s="1" t="n">
        <v>46389</v>
      </c>
      <c r="N90" t="n">
        <v>12</v>
      </c>
    </row>
    <row r="91">
      <c r="A91" t="inlineStr">
        <is>
          <t>HO-000090</t>
        </is>
      </c>
      <c r="B91" t="inlineStr">
        <is>
          <t>T01</t>
        </is>
      </c>
      <c r="C91" t="inlineStr">
        <is>
          <t>Frame</t>
        </is>
      </c>
      <c r="D91" t="n">
        <v>3</v>
      </c>
      <c r="E91" t="n">
        <v>1980</v>
      </c>
      <c r="F91" t="n">
        <v>7</v>
      </c>
      <c r="G91" t="n">
        <v>729213</v>
      </c>
      <c r="H91" t="n">
        <v>500</v>
      </c>
      <c r="I91" t="n">
        <v>0.02</v>
      </c>
      <c r="J91" t="inlineStr">
        <is>
          <t>N</t>
        </is>
      </c>
      <c r="K91" t="inlineStr">
        <is>
          <t>None</t>
        </is>
      </c>
      <c r="L91" t="n">
        <v>0</v>
      </c>
      <c r="M91" s="1" t="n">
        <v>46576</v>
      </c>
      <c r="N91" t="n">
        <v>12</v>
      </c>
    </row>
    <row r="92">
      <c r="A92" t="inlineStr">
        <is>
          <t>HO-000091</t>
        </is>
      </c>
      <c r="B92" t="inlineStr">
        <is>
          <t>T01</t>
        </is>
      </c>
      <c r="C92" t="inlineStr">
        <is>
          <t>MasonryVeneer</t>
        </is>
      </c>
      <c r="D92" t="n">
        <v>4</v>
      </c>
      <c r="E92" t="n">
        <v>1994</v>
      </c>
      <c r="F92" t="n">
        <v>13</v>
      </c>
      <c r="G92" t="n">
        <v>311000</v>
      </c>
      <c r="H92" t="n">
        <v>2500</v>
      </c>
      <c r="I92" t="n">
        <v>0.02</v>
      </c>
      <c r="J92" t="inlineStr">
        <is>
          <t>Y</t>
        </is>
      </c>
      <c r="L92" t="n">
        <v>0</v>
      </c>
      <c r="M92" s="1" t="n">
        <v>46203</v>
      </c>
      <c r="N92" t="n">
        <v>12</v>
      </c>
    </row>
    <row r="93">
      <c r="A93" t="inlineStr">
        <is>
          <t>HO-000092</t>
        </is>
      </c>
      <c r="B93" t="inlineStr">
        <is>
          <t>T02</t>
        </is>
      </c>
      <c r="C93" t="inlineStr">
        <is>
          <t>Frame</t>
        </is>
      </c>
      <c r="D93" t="n">
        <v>5</v>
      </c>
      <c r="E93" t="n">
        <v>2000</v>
      </c>
      <c r="F93" t="n">
        <v>26</v>
      </c>
      <c r="G93" t="n">
        <v>1575000</v>
      </c>
      <c r="H93" t="n">
        <v>1000</v>
      </c>
      <c r="I93" t="n">
        <v>0.1</v>
      </c>
      <c r="J93" t="inlineStr">
        <is>
          <t>Y</t>
        </is>
      </c>
      <c r="K93" t="inlineStr">
        <is>
          <t>None</t>
        </is>
      </c>
      <c r="L93" t="n">
        <v>1</v>
      </c>
      <c r="M93" s="1" t="n">
        <v>46734</v>
      </c>
      <c r="N93" t="n">
        <v>6</v>
      </c>
    </row>
    <row r="94">
      <c r="A94" t="inlineStr">
        <is>
          <t>HO-000093</t>
        </is>
      </c>
      <c r="B94" t="inlineStr">
        <is>
          <t>T08</t>
        </is>
      </c>
      <c r="C94" t="inlineStr">
        <is>
          <t>Masonry</t>
        </is>
      </c>
      <c r="D94" t="n">
        <v>6</v>
      </c>
      <c r="E94" t="n">
        <v>1978</v>
      </c>
      <c r="F94" t="n">
        <v>8</v>
      </c>
      <c r="G94" t="n">
        <v>406000</v>
      </c>
      <c r="H94" t="n">
        <v>7500</v>
      </c>
      <c r="I94" t="n">
        <v>0.1</v>
      </c>
      <c r="J94" t="inlineStr">
        <is>
          <t>Y</t>
        </is>
      </c>
      <c r="K94" t="inlineStr">
        <is>
          <t>None</t>
        </is>
      </c>
      <c r="L94" t="n">
        <v>3</v>
      </c>
      <c r="M94" s="1" t="n">
        <v>46402</v>
      </c>
      <c r="N94" t="n">
        <v>6</v>
      </c>
    </row>
    <row r="95">
      <c r="A95" t="inlineStr">
        <is>
          <t>HO-000094</t>
        </is>
      </c>
      <c r="B95" t="inlineStr">
        <is>
          <t>T08</t>
        </is>
      </c>
      <c r="C95" t="inlineStr">
        <is>
          <t>FireResistive</t>
        </is>
      </c>
      <c r="D95" t="n">
        <v>7</v>
      </c>
      <c r="E95" t="n">
        <v>2025</v>
      </c>
      <c r="G95" t="n">
        <v>688000</v>
      </c>
      <c r="H95" t="n">
        <v>10000</v>
      </c>
      <c r="I95" t="n">
        <v>0.02</v>
      </c>
      <c r="L95" t="n">
        <v>4</v>
      </c>
      <c r="M95" s="1" t="n">
        <v>46864</v>
      </c>
      <c r="N95" t="n">
        <v>12</v>
      </c>
    </row>
    <row r="96">
      <c r="A96" t="inlineStr">
        <is>
          <t>HO-000095</t>
        </is>
      </c>
      <c r="B96" t="inlineStr">
        <is>
          <t>T06</t>
        </is>
      </c>
      <c r="C96" t="inlineStr">
        <is>
          <t>Masonry</t>
        </is>
      </c>
      <c r="D96" t="n">
        <v>8</v>
      </c>
      <c r="E96" t="n">
        <v>1928</v>
      </c>
      <c r="F96" t="n">
        <v>27</v>
      </c>
      <c r="G96" t="n">
        <v>505427</v>
      </c>
      <c r="H96" t="n">
        <v>10000</v>
      </c>
      <c r="L96" t="n">
        <v>0</v>
      </c>
      <c r="M96" s="1" t="n">
        <v>46233</v>
      </c>
      <c r="N96" t="n">
        <v>12</v>
      </c>
    </row>
    <row r="97">
      <c r="A97" t="inlineStr">
        <is>
          <t>HO-000096</t>
        </is>
      </c>
      <c r="B97" t="inlineStr">
        <is>
          <t>T02</t>
        </is>
      </c>
      <c r="C97" t="inlineStr">
        <is>
          <t>MasonryVeneer</t>
        </is>
      </c>
      <c r="D97" t="n">
        <v>9</v>
      </c>
      <c r="E97" t="n">
        <v>1953</v>
      </c>
      <c r="F97" t="n">
        <v>5</v>
      </c>
      <c r="G97" t="n">
        <v>796000</v>
      </c>
      <c r="H97" t="n">
        <v>2500</v>
      </c>
      <c r="I97" t="n">
        <v>0.03</v>
      </c>
      <c r="J97" t="inlineStr">
        <is>
          <t>Y</t>
        </is>
      </c>
      <c r="K97" t="inlineStr">
        <is>
          <t>None</t>
        </is>
      </c>
      <c r="L97" t="n">
        <v>4</v>
      </c>
      <c r="M97" s="1" t="n">
        <v>46398</v>
      </c>
      <c r="N97" t="n">
        <v>12</v>
      </c>
    </row>
    <row r="98">
      <c r="A98" t="inlineStr">
        <is>
          <t>HO-000097</t>
        </is>
      </c>
      <c r="B98" t="inlineStr">
        <is>
          <t>T04</t>
        </is>
      </c>
      <c r="C98" t="inlineStr">
        <is>
          <t>FireResistive</t>
        </is>
      </c>
      <c r="D98" t="n">
        <v>10</v>
      </c>
      <c r="E98" t="n">
        <v>1969</v>
      </c>
      <c r="F98" t="n">
        <v>24</v>
      </c>
      <c r="G98" t="n">
        <v>381000</v>
      </c>
      <c r="H98" t="n">
        <v>2500</v>
      </c>
      <c r="I98" t="n">
        <v>0.03</v>
      </c>
      <c r="K98" t="inlineStr">
        <is>
          <t>None</t>
        </is>
      </c>
      <c r="L98" t="n">
        <v>2</v>
      </c>
      <c r="M98" s="1" t="n">
        <v>46729</v>
      </c>
      <c r="N98" t="n">
        <v>12</v>
      </c>
    </row>
    <row r="99">
      <c r="A99" t="inlineStr">
        <is>
          <t>HO-000098</t>
        </is>
      </c>
      <c r="B99" t="inlineStr">
        <is>
          <t>T01</t>
        </is>
      </c>
      <c r="C99" t="inlineStr">
        <is>
          <t>MasonryVeneer</t>
        </is>
      </c>
      <c r="D99" t="n">
        <v>4</v>
      </c>
      <c r="E99" t="n">
        <v>2023</v>
      </c>
      <c r="F99" t="n">
        <v>23</v>
      </c>
      <c r="G99" t="n">
        <v>854199</v>
      </c>
      <c r="H99" t="n">
        <v>1000</v>
      </c>
      <c r="I99" t="n">
        <v>0.03</v>
      </c>
      <c r="J99" t="inlineStr">
        <is>
          <t>Y</t>
        </is>
      </c>
      <c r="K99" t="inlineStr">
        <is>
          <t>Fortified</t>
        </is>
      </c>
      <c r="L99" t="n">
        <v>0</v>
      </c>
      <c r="M99" s="1" t="n">
        <v>46539</v>
      </c>
      <c r="N99" t="n">
        <v>12</v>
      </c>
    </row>
    <row r="100">
      <c r="A100" t="inlineStr">
        <is>
          <t>HO-000099</t>
        </is>
      </c>
      <c r="B100" t="inlineStr">
        <is>
          <t>T02</t>
        </is>
      </c>
      <c r="C100" t="inlineStr">
        <is>
          <t>Masonry</t>
        </is>
      </c>
      <c r="D100" t="n">
        <v>5</v>
      </c>
      <c r="E100" t="n">
        <v>2023</v>
      </c>
      <c r="F100" t="n">
        <v>19</v>
      </c>
      <c r="G100" t="n">
        <v>169000</v>
      </c>
      <c r="H100" t="n">
        <v>2500</v>
      </c>
      <c r="I100" t="n">
        <v>0.1</v>
      </c>
      <c r="J100" t="inlineStr">
        <is>
          <t>Y</t>
        </is>
      </c>
      <c r="K100" t="inlineStr">
        <is>
          <t>Fortified</t>
        </is>
      </c>
      <c r="L100" t="n">
        <v>0</v>
      </c>
      <c r="M100" s="1" t="n">
        <v>46539</v>
      </c>
      <c r="N100" t="n">
        <v>12</v>
      </c>
    </row>
    <row r="101">
      <c r="A101" t="inlineStr">
        <is>
          <t>HO-000100</t>
        </is>
      </c>
      <c r="B101" t="inlineStr">
        <is>
          <t>T03</t>
        </is>
      </c>
      <c r="C101" t="inlineStr">
        <is>
          <t>FireResistive</t>
        </is>
      </c>
      <c r="D101" t="n">
        <v>2</v>
      </c>
      <c r="E101" t="n">
        <v>2023</v>
      </c>
      <c r="F101" t="n">
        <v>9</v>
      </c>
      <c r="G101" t="n">
        <v>681000</v>
      </c>
      <c r="H101" t="n">
        <v>500</v>
      </c>
      <c r="J101" t="inlineStr">
        <is>
          <t>Y</t>
        </is>
      </c>
      <c r="K101" t="inlineStr">
        <is>
          <t>Fortified</t>
        </is>
      </c>
      <c r="L101" t="n">
        <v>0</v>
      </c>
      <c r="M101" s="1" t="n">
        <v>46539</v>
      </c>
      <c r="N101" t="n">
        <v>12</v>
      </c>
    </row>
    <row r="102">
      <c r="A102" t="inlineStr">
        <is>
          <t>HO-000101</t>
        </is>
      </c>
      <c r="B102" t="inlineStr">
        <is>
          <t>T04</t>
        </is>
      </c>
      <c r="C102" t="inlineStr">
        <is>
          <t>Frame</t>
        </is>
      </c>
      <c r="D102" t="n">
        <v>1</v>
      </c>
      <c r="E102" t="n">
        <v>2023</v>
      </c>
      <c r="F102" t="n">
        <v>5</v>
      </c>
      <c r="G102" t="n">
        <v>1413029</v>
      </c>
      <c r="H102" t="n">
        <v>1000</v>
      </c>
      <c r="I102" t="n">
        <v>0.05</v>
      </c>
      <c r="J102" t="inlineStr">
        <is>
          <t>Y</t>
        </is>
      </c>
      <c r="K102" t="inlineStr">
        <is>
          <t>Fortified</t>
        </is>
      </c>
      <c r="L102" t="n">
        <v>0</v>
      </c>
      <c r="M102" s="1" t="n">
        <v>46539</v>
      </c>
      <c r="N102" t="n">
        <v>12</v>
      </c>
    </row>
    <row r="103">
      <c r="A103" t="inlineStr">
        <is>
          <t>HO-000102</t>
        </is>
      </c>
      <c r="B103" t="inlineStr">
        <is>
          <t>T05</t>
        </is>
      </c>
      <c r="C103" t="inlineStr">
        <is>
          <t>Frame</t>
        </is>
      </c>
      <c r="D103" t="n">
        <v>6</v>
      </c>
      <c r="E103" t="n">
        <v>2023</v>
      </c>
      <c r="F103" t="n">
        <v>17</v>
      </c>
      <c r="G103" t="n">
        <v>1132438</v>
      </c>
      <c r="H103" t="n">
        <v>10000</v>
      </c>
      <c r="J103" t="inlineStr">
        <is>
          <t>Y</t>
        </is>
      </c>
      <c r="K103" t="inlineStr">
        <is>
          <t>Fortified</t>
        </is>
      </c>
      <c r="L103" t="n">
        <v>0</v>
      </c>
      <c r="M103" s="1" t="n">
        <v>46539</v>
      </c>
      <c r="N103" t="n">
        <v>12</v>
      </c>
    </row>
    <row r="104">
      <c r="A104" t="inlineStr">
        <is>
          <t>HO-000103</t>
        </is>
      </c>
      <c r="B104" t="inlineStr">
        <is>
          <t>T06</t>
        </is>
      </c>
      <c r="C104" t="inlineStr">
        <is>
          <t>FireResistive</t>
        </is>
      </c>
      <c r="D104" t="n">
        <v>9</v>
      </c>
      <c r="E104" t="n">
        <v>2023</v>
      </c>
      <c r="F104" t="n">
        <v>1</v>
      </c>
      <c r="G104" t="n">
        <v>1403000</v>
      </c>
      <c r="H104" t="n">
        <v>10000</v>
      </c>
      <c r="I104" t="n">
        <v>0.1</v>
      </c>
      <c r="J104" t="inlineStr">
        <is>
          <t>Y</t>
        </is>
      </c>
      <c r="K104" t="inlineStr">
        <is>
          <t>Fortified</t>
        </is>
      </c>
      <c r="L104" t="n">
        <v>0</v>
      </c>
      <c r="M104" s="1" t="n">
        <v>46539</v>
      </c>
      <c r="N104" t="n">
        <v>6</v>
      </c>
    </row>
    <row r="105">
      <c r="A105" t="inlineStr">
        <is>
          <t>HO-000104</t>
        </is>
      </c>
      <c r="B105" t="inlineStr">
        <is>
          <t>T07</t>
        </is>
      </c>
      <c r="C105" t="inlineStr">
        <is>
          <t>FireResistive</t>
        </is>
      </c>
      <c r="D105" t="n">
        <v>2</v>
      </c>
      <c r="E105" t="n">
        <v>2023</v>
      </c>
      <c r="F105" t="n">
        <v>28</v>
      </c>
      <c r="G105" t="n">
        <v>1421000</v>
      </c>
      <c r="H105" t="n">
        <v>2500</v>
      </c>
      <c r="J105" t="inlineStr">
        <is>
          <t>Y</t>
        </is>
      </c>
      <c r="K105" t="inlineStr">
        <is>
          <t>Fortified</t>
        </is>
      </c>
      <c r="L105" t="n">
        <v>0</v>
      </c>
      <c r="M105" s="1" t="n">
        <v>46539</v>
      </c>
      <c r="N105" t="n">
        <v>12</v>
      </c>
    </row>
    <row r="106">
      <c r="A106" t="inlineStr">
        <is>
          <t>HO-000105</t>
        </is>
      </c>
      <c r="B106" t="inlineStr">
        <is>
          <t>T08</t>
        </is>
      </c>
      <c r="C106" t="inlineStr">
        <is>
          <t>FireResistive</t>
        </is>
      </c>
      <c r="D106" t="n">
        <v>1</v>
      </c>
      <c r="E106" t="n">
        <v>2023</v>
      </c>
      <c r="F106" t="n">
        <v>0</v>
      </c>
      <c r="G106" t="n">
        <v>1095358</v>
      </c>
      <c r="H106" t="n">
        <v>1000</v>
      </c>
      <c r="I106" t="n">
        <v>0.1</v>
      </c>
      <c r="J106" t="inlineStr">
        <is>
          <t>Y</t>
        </is>
      </c>
      <c r="K106" t="inlineStr">
        <is>
          <t>Fortified</t>
        </is>
      </c>
      <c r="L106" t="n">
        <v>0</v>
      </c>
      <c r="M106" s="1" t="n">
        <v>46539</v>
      </c>
      <c r="N106" t="n">
        <v>12</v>
      </c>
    </row>
    <row r="107">
      <c r="A107" t="inlineStr">
        <is>
          <t>HO-000106</t>
        </is>
      </c>
      <c r="B107" t="inlineStr">
        <is>
          <t>T09</t>
        </is>
      </c>
      <c r="C107" t="inlineStr">
        <is>
          <t>MasonryVeneer</t>
        </is>
      </c>
      <c r="D107" t="n">
        <v>7</v>
      </c>
      <c r="E107" t="n">
        <v>1980</v>
      </c>
      <c r="F107" t="n">
        <v>16</v>
      </c>
      <c r="G107" t="n">
        <v>985000</v>
      </c>
      <c r="H107" t="n">
        <v>10000</v>
      </c>
      <c r="I107" t="n">
        <v>0.1</v>
      </c>
      <c r="K107" t="inlineStr">
        <is>
          <t>Basic</t>
        </is>
      </c>
      <c r="L107" t="n">
        <v>4</v>
      </c>
      <c r="M107" s="1" t="n">
        <v>46338</v>
      </c>
      <c r="N107" t="n">
        <v>6</v>
      </c>
    </row>
    <row r="108">
      <c r="A108" t="inlineStr">
        <is>
          <t>HO-000107</t>
        </is>
      </c>
      <c r="B108" t="inlineStr">
        <is>
          <t>t01</t>
        </is>
      </c>
      <c r="C108" t="inlineStr">
        <is>
          <t>Masonry</t>
        </is>
      </c>
      <c r="D108" t="n">
        <v>6</v>
      </c>
      <c r="E108" t="n">
        <v>1995</v>
      </c>
      <c r="F108" t="n">
        <v>1</v>
      </c>
      <c r="G108" t="n">
        <v>498000</v>
      </c>
      <c r="H108" t="n">
        <v>1000</v>
      </c>
      <c r="I108" t="n">
        <v>0.1</v>
      </c>
      <c r="J108" t="inlineStr">
        <is>
          <t>N</t>
        </is>
      </c>
      <c r="K108" t="inlineStr">
        <is>
          <t>Basic</t>
        </is>
      </c>
      <c r="L108" t="n">
        <v>0</v>
      </c>
      <c r="M108" s="1" t="n">
        <v>46291</v>
      </c>
      <c r="N108" t="n">
        <v>12</v>
      </c>
    </row>
    <row r="109">
      <c r="A109" t="inlineStr">
        <is>
          <t>HO-000108</t>
        </is>
      </c>
      <c r="B109" t="inlineStr">
        <is>
          <t>T07</t>
        </is>
      </c>
      <c r="C109" t="inlineStr">
        <is>
          <t>FireResistive</t>
        </is>
      </c>
      <c r="D109" t="n">
        <v>8</v>
      </c>
      <c r="E109" t="n">
        <v>1930</v>
      </c>
      <c r="F109" t="n">
        <v>29</v>
      </c>
      <c r="G109" t="n">
        <v>661000</v>
      </c>
      <c r="H109" t="n">
        <v>25000</v>
      </c>
      <c r="L109" t="n">
        <v>1</v>
      </c>
      <c r="M109" s="1" t="n">
        <v>46053</v>
      </c>
      <c r="N109" t="n">
        <v>6</v>
      </c>
    </row>
    <row r="110">
      <c r="A110" t="inlineStr">
        <is>
          <t>HO-000109</t>
        </is>
      </c>
      <c r="B110" t="inlineStr">
        <is>
          <t>T07</t>
        </is>
      </c>
      <c r="C110" t="inlineStr">
        <is>
          <t>FireResistive</t>
        </is>
      </c>
      <c r="D110" t="n">
        <v>6</v>
      </c>
      <c r="E110" t="n">
        <v>1978</v>
      </c>
      <c r="F110" t="n">
        <v>1</v>
      </c>
      <c r="G110" t="n">
        <v>1565917</v>
      </c>
      <c r="H110" t="n">
        <v>1000</v>
      </c>
      <c r="J110" t="inlineStr">
        <is>
          <t>Y</t>
        </is>
      </c>
      <c r="K110" t="inlineStr">
        <is>
          <t>Basic</t>
        </is>
      </c>
      <c r="L110" t="n">
        <v>0</v>
      </c>
      <c r="M110" s="1" t="n">
        <v>46265</v>
      </c>
      <c r="N110" t="n">
        <v>6</v>
      </c>
    </row>
    <row r="111">
      <c r="A111" t="inlineStr">
        <is>
          <t>HO-000110</t>
        </is>
      </c>
      <c r="B111" t="inlineStr">
        <is>
          <t>T06</t>
        </is>
      </c>
      <c r="C111" t="inlineStr">
        <is>
          <t>Masonry</t>
        </is>
      </c>
      <c r="D111" t="n">
        <v>5</v>
      </c>
      <c r="E111" t="n">
        <v>2003</v>
      </c>
      <c r="F111" t="n">
        <v>20</v>
      </c>
      <c r="G111" t="n">
        <v>128363</v>
      </c>
      <c r="H111" t="n">
        <v>1000</v>
      </c>
      <c r="I111" t="n">
        <v>0.03</v>
      </c>
      <c r="L111" t="n">
        <v>1</v>
      </c>
      <c r="M111" s="1" t="n">
        <v>46630</v>
      </c>
      <c r="N111" t="n">
        <v>6</v>
      </c>
    </row>
    <row r="112">
      <c r="A112" t="inlineStr">
        <is>
          <t>HO-000111</t>
        </is>
      </c>
      <c r="B112" t="inlineStr">
        <is>
          <t>T02</t>
        </is>
      </c>
      <c r="C112" t="inlineStr">
        <is>
          <t>Masonry</t>
        </is>
      </c>
      <c r="D112" t="n">
        <v>5</v>
      </c>
      <c r="E112" t="n">
        <v>2027</v>
      </c>
      <c r="F112" t="n">
        <v>7</v>
      </c>
      <c r="G112" t="n">
        <v>914000</v>
      </c>
      <c r="H112" t="n">
        <v>10000</v>
      </c>
      <c r="J112" t="inlineStr">
        <is>
          <t>Y</t>
        </is>
      </c>
      <c r="K112" t="inlineStr">
        <is>
          <t>Fortified</t>
        </is>
      </c>
      <c r="L112" t="n">
        <v>2</v>
      </c>
      <c r="M112" s="1" t="n">
        <v>46812</v>
      </c>
      <c r="N112" t="n">
        <v>12</v>
      </c>
    </row>
    <row r="113">
      <c r="A113" t="inlineStr">
        <is>
          <t>HO-000112</t>
        </is>
      </c>
      <c r="B113" t="inlineStr">
        <is>
          <t>T01</t>
        </is>
      </c>
      <c r="C113" t="inlineStr">
        <is>
          <t>Frame</t>
        </is>
      </c>
      <c r="D113" t="n">
        <v>1</v>
      </c>
      <c r="E113" t="n">
        <v>1927</v>
      </c>
      <c r="F113" t="n">
        <v>21</v>
      </c>
      <c r="G113" t="n">
        <v>1413435</v>
      </c>
      <c r="H113" t="n">
        <v>25000</v>
      </c>
      <c r="I113" t="n">
        <v>0.02</v>
      </c>
      <c r="J113" t="inlineStr">
        <is>
          <t>Y</t>
        </is>
      </c>
      <c r="K113" t="inlineStr">
        <is>
          <t>None</t>
        </is>
      </c>
      <c r="L113" t="n">
        <v>3</v>
      </c>
      <c r="M113" s="1" t="n">
        <v>46812</v>
      </c>
      <c r="N113" t="n">
        <v>6</v>
      </c>
    </row>
    <row r="114">
      <c r="A114" t="inlineStr">
        <is>
          <t>HO-000113</t>
        </is>
      </c>
      <c r="B114" t="inlineStr">
        <is>
          <t>T01</t>
        </is>
      </c>
      <c r="C114" t="inlineStr">
        <is>
          <t>Frame</t>
        </is>
      </c>
      <c r="D114" t="n">
        <v>8</v>
      </c>
      <c r="E114" t="n">
        <v>2023</v>
      </c>
      <c r="F114" t="n">
        <v>0</v>
      </c>
      <c r="G114" t="n">
        <v>507000</v>
      </c>
      <c r="H114" t="n">
        <v>250</v>
      </c>
      <c r="I114" t="n">
        <v>0.02</v>
      </c>
      <c r="J114" t="inlineStr">
        <is>
          <t>N</t>
        </is>
      </c>
      <c r="K114" t="inlineStr">
        <is>
          <t>None</t>
        </is>
      </c>
      <c r="L114" t="n">
        <v>1</v>
      </c>
      <c r="M114" s="1" t="n">
        <v>46447</v>
      </c>
      <c r="N114" t="n">
        <v>12</v>
      </c>
    </row>
    <row r="115">
      <c r="A115" t="inlineStr">
        <is>
          <t>HO-000114</t>
        </is>
      </c>
      <c r="B115" t="inlineStr">
        <is>
          <t>T04</t>
        </is>
      </c>
      <c r="C115" t="inlineStr">
        <is>
          <t>Frame</t>
        </is>
      </c>
      <c r="D115" t="n">
        <v>5</v>
      </c>
      <c r="E115" t="n">
        <v>1992</v>
      </c>
      <c r="F115" t="n">
        <v>15</v>
      </c>
      <c r="G115" t="n">
        <v>1077000</v>
      </c>
      <c r="H115" t="n">
        <v>10000</v>
      </c>
      <c r="I115" t="n">
        <v>0.1</v>
      </c>
      <c r="J115" t="inlineStr">
        <is>
          <t>Y</t>
        </is>
      </c>
      <c r="K115" t="inlineStr">
        <is>
          <t>None</t>
        </is>
      </c>
      <c r="L115" t="n">
        <v>1</v>
      </c>
      <c r="M115" s="1" t="n">
        <v>46753</v>
      </c>
      <c r="N115" t="n">
        <v>12</v>
      </c>
    </row>
    <row r="116">
      <c r="A116" t="inlineStr">
        <is>
          <t>HO-000115</t>
        </is>
      </c>
      <c r="B116" t="inlineStr">
        <is>
          <t>T06</t>
        </is>
      </c>
      <c r="C116" t="inlineStr">
        <is>
          <t>Frame</t>
        </is>
      </c>
      <c r="D116" t="n">
        <v>2</v>
      </c>
      <c r="E116" t="n">
        <v>1925</v>
      </c>
      <c r="F116" t="n">
        <v>4</v>
      </c>
      <c r="G116" t="n">
        <v>158000</v>
      </c>
      <c r="H116" t="n">
        <v>500</v>
      </c>
      <c r="K116" t="inlineStr">
        <is>
          <t>None</t>
        </is>
      </c>
      <c r="L116" t="n">
        <v>0</v>
      </c>
      <c r="M116" s="1" t="n">
        <v>46387</v>
      </c>
      <c r="N116" t="n">
        <v>12</v>
      </c>
    </row>
    <row r="117">
      <c r="A117" t="inlineStr">
        <is>
          <t>HO-000116</t>
        </is>
      </c>
      <c r="B117" t="inlineStr">
        <is>
          <t>T05</t>
        </is>
      </c>
      <c r="C117" t="inlineStr">
        <is>
          <t>Masonry</t>
        </is>
      </c>
      <c r="D117" t="n">
        <v>7</v>
      </c>
      <c r="E117" t="n">
        <v>1950</v>
      </c>
      <c r="F117" t="n">
        <v>23</v>
      </c>
      <c r="G117" t="n">
        <v>281295</v>
      </c>
      <c r="H117" t="n">
        <v>250</v>
      </c>
      <c r="K117" t="inlineStr">
        <is>
          <t>Fortified</t>
        </is>
      </c>
      <c r="L117" t="n">
        <v>0</v>
      </c>
      <c r="M117" s="1" t="n">
        <v>46446</v>
      </c>
      <c r="N117" t="n">
        <v>6</v>
      </c>
    </row>
    <row r="118">
      <c r="A118" t="inlineStr">
        <is>
          <t>HO-000117</t>
        </is>
      </c>
      <c r="B118" t="inlineStr">
        <is>
          <t>T02</t>
        </is>
      </c>
      <c r="C118" t="inlineStr">
        <is>
          <t>Masonry</t>
        </is>
      </c>
      <c r="D118" t="n">
        <v>7</v>
      </c>
      <c r="E118" t="n">
        <v>2023</v>
      </c>
      <c r="F118" t="n">
        <v>0</v>
      </c>
      <c r="G118" t="n">
        <v>1146000</v>
      </c>
      <c r="H118" t="n">
        <v>1000</v>
      </c>
      <c r="I118" t="n">
        <v>0.03</v>
      </c>
      <c r="J118" t="inlineStr">
        <is>
          <t>Y</t>
        </is>
      </c>
      <c r="K118" t="inlineStr">
        <is>
          <t>None</t>
        </is>
      </c>
      <c r="L118" t="n">
        <v>0</v>
      </c>
      <c r="M118" s="1" t="n">
        <v>46539</v>
      </c>
      <c r="N118" t="n">
        <v>12</v>
      </c>
    </row>
    <row r="119">
      <c r="A119" t="inlineStr">
        <is>
          <t>HO-000118</t>
        </is>
      </c>
      <c r="B119" t="inlineStr">
        <is>
          <t>T08</t>
        </is>
      </c>
      <c r="C119" t="inlineStr">
        <is>
          <t>Masonry</t>
        </is>
      </c>
      <c r="D119" t="n">
        <v>10</v>
      </c>
      <c r="E119" t="n">
        <v>2023</v>
      </c>
      <c r="F119" t="n">
        <v>18</v>
      </c>
      <c r="G119" t="n">
        <v>447000</v>
      </c>
      <c r="H119" t="n">
        <v>2500</v>
      </c>
      <c r="I119" t="n">
        <v>0.02</v>
      </c>
      <c r="J119" t="inlineStr">
        <is>
          <t>Y</t>
        </is>
      </c>
      <c r="K119" t="inlineStr">
        <is>
          <t>Basic</t>
        </is>
      </c>
      <c r="L119" t="n">
        <v>0</v>
      </c>
      <c r="M119" s="1" t="n">
        <v>46539</v>
      </c>
      <c r="N119" t="n">
        <v>6</v>
      </c>
    </row>
    <row r="120">
      <c r="A120" t="inlineStr">
        <is>
          <t>HO-000119</t>
        </is>
      </c>
      <c r="B120" t="inlineStr">
        <is>
          <t>T02</t>
        </is>
      </c>
      <c r="C120" t="inlineStr">
        <is>
          <t>FireResistive</t>
        </is>
      </c>
      <c r="D120" t="n">
        <v>2</v>
      </c>
      <c r="E120" t="n">
        <v>2017</v>
      </c>
      <c r="F120" t="n">
        <v>16</v>
      </c>
      <c r="G120" t="n">
        <v>345000</v>
      </c>
      <c r="H120" t="n">
        <v>2500</v>
      </c>
      <c r="I120" t="n">
        <v>0.1</v>
      </c>
      <c r="J120" t="inlineStr">
        <is>
          <t>Y</t>
        </is>
      </c>
      <c r="K120" t="inlineStr">
        <is>
          <t>Fortified</t>
        </is>
      </c>
      <c r="L120" t="n">
        <v>0</v>
      </c>
      <c r="M120" s="1" t="n">
        <v>46539</v>
      </c>
      <c r="N120" t="n">
        <v>12</v>
      </c>
    </row>
    <row r="121">
      <c r="A121" t="inlineStr">
        <is>
          <t>HO-000120</t>
        </is>
      </c>
      <c r="B121" t="inlineStr">
        <is>
          <t>T05</t>
        </is>
      </c>
      <c r="C121" t="inlineStr">
        <is>
          <t>MasonryVeneer</t>
        </is>
      </c>
      <c r="D121" t="n">
        <v>1</v>
      </c>
      <c r="E121" t="n">
        <v>2023</v>
      </c>
      <c r="F121" t="n">
        <v>11</v>
      </c>
      <c r="G121" t="n">
        <v>570000</v>
      </c>
      <c r="H121" t="n">
        <v>10000</v>
      </c>
      <c r="I121" t="n">
        <v>0.1</v>
      </c>
      <c r="J121" t="inlineStr">
        <is>
          <t>N</t>
        </is>
      </c>
      <c r="K121" t="inlineStr">
        <is>
          <t>Fortified</t>
        </is>
      </c>
      <c r="L121" t="n">
        <v>0</v>
      </c>
      <c r="M121" s="1" t="n">
        <v>46539</v>
      </c>
      <c r="N121" t="n">
        <v>12</v>
      </c>
    </row>
    <row r="122">
      <c r="A122" t="inlineStr">
        <is>
          <t>HO-000121</t>
        </is>
      </c>
      <c r="B122" t="inlineStr">
        <is>
          <t>T08</t>
        </is>
      </c>
      <c r="C122" t="inlineStr">
        <is>
          <t>Masonry</t>
        </is>
      </c>
      <c r="D122" t="n">
        <v>5</v>
      </c>
      <c r="E122" t="n">
        <v>2023</v>
      </c>
      <c r="F122" t="n">
        <v>22</v>
      </c>
      <c r="G122" t="n">
        <v>389691</v>
      </c>
      <c r="H122" t="n">
        <v>1000</v>
      </c>
      <c r="I122" t="n">
        <v>0.1</v>
      </c>
      <c r="J122" t="inlineStr">
        <is>
          <t>Y</t>
        </is>
      </c>
      <c r="K122" t="inlineStr">
        <is>
          <t>Fortified</t>
        </is>
      </c>
      <c r="L122" t="n">
        <v>1</v>
      </c>
      <c r="M122" s="1" t="n">
        <v>46539</v>
      </c>
      <c r="N122" t="n">
        <v>12</v>
      </c>
    </row>
    <row r="123">
      <c r="A123" t="inlineStr">
        <is>
          <t>HO-000122</t>
        </is>
      </c>
      <c r="B123" t="inlineStr">
        <is>
          <t>T07</t>
        </is>
      </c>
      <c r="C123" t="inlineStr">
        <is>
          <t>FireResistive</t>
        </is>
      </c>
      <c r="D123" t="n">
        <v>3</v>
      </c>
      <c r="E123" t="n">
        <v>2023</v>
      </c>
      <c r="F123" t="n">
        <v>24</v>
      </c>
      <c r="G123" t="n">
        <v>448000</v>
      </c>
      <c r="H123" t="n">
        <v>25000</v>
      </c>
      <c r="I123" t="n">
        <v>0.03</v>
      </c>
      <c r="J123" t="inlineStr">
        <is>
          <t>N</t>
        </is>
      </c>
      <c r="K123" t="inlineStr">
        <is>
          <t>Basic</t>
        </is>
      </c>
      <c r="L123" t="n">
        <v>0</v>
      </c>
      <c r="M123" s="1" t="n">
        <v>46539</v>
      </c>
      <c r="N123" t="n">
        <v>12</v>
      </c>
    </row>
    <row r="124">
      <c r="A124" t="inlineStr">
        <is>
          <t>HO-000123</t>
        </is>
      </c>
      <c r="B124" t="inlineStr">
        <is>
          <t>T01</t>
        </is>
      </c>
      <c r="C124" t="inlineStr">
        <is>
          <t>Frame</t>
        </is>
      </c>
      <c r="D124" t="n">
        <v>5</v>
      </c>
      <c r="E124" t="n">
        <v>1990</v>
      </c>
      <c r="F124" t="n">
        <v>8</v>
      </c>
      <c r="G124" t="n">
        <v>100000</v>
      </c>
      <c r="H124" t="n">
        <v>1000</v>
      </c>
      <c r="I124" t="n">
        <v>0.02</v>
      </c>
      <c r="J124" t="inlineStr">
        <is>
          <t>N</t>
        </is>
      </c>
      <c r="K124" t="inlineStr">
        <is>
          <t>None</t>
        </is>
      </c>
      <c r="L124" t="n">
        <v>1</v>
      </c>
      <c r="M124" s="1" t="n">
        <v>46744</v>
      </c>
      <c r="N124" t="n">
        <v>12</v>
      </c>
    </row>
    <row r="125">
      <c r="A125" t="inlineStr">
        <is>
          <t>HO-000124</t>
        </is>
      </c>
      <c r="B125" t="inlineStr">
        <is>
          <t>T01</t>
        </is>
      </c>
      <c r="C125" t="inlineStr">
        <is>
          <t>Frame</t>
        </is>
      </c>
      <c r="D125" t="n">
        <v>5</v>
      </c>
      <c r="E125" t="n">
        <v>1990</v>
      </c>
      <c r="F125" t="n">
        <v>8</v>
      </c>
      <c r="G125" t="n">
        <v>110000</v>
      </c>
      <c r="H125" t="n">
        <v>1000</v>
      </c>
      <c r="I125" t="n">
        <v>0.02</v>
      </c>
      <c r="J125" t="inlineStr">
        <is>
          <t>N</t>
        </is>
      </c>
      <c r="K125" t="inlineStr">
        <is>
          <t>None</t>
        </is>
      </c>
      <c r="L125" t="n">
        <v>1</v>
      </c>
      <c r="M125" s="1" t="n">
        <v>46068</v>
      </c>
      <c r="N125" t="n">
        <v>12</v>
      </c>
    </row>
    <row r="126">
      <c r="A126" t="inlineStr">
        <is>
          <t>HO-000125</t>
        </is>
      </c>
      <c r="B126" t="inlineStr">
        <is>
          <t>T01</t>
        </is>
      </c>
      <c r="C126" t="inlineStr">
        <is>
          <t>Frame</t>
        </is>
      </c>
      <c r="D126" t="n">
        <v>5</v>
      </c>
      <c r="E126" t="n">
        <v>1990</v>
      </c>
      <c r="F126" t="n">
        <v>8</v>
      </c>
      <c r="G126" t="n">
        <v>120000</v>
      </c>
      <c r="H126" t="n">
        <v>1000</v>
      </c>
      <c r="I126" t="n">
        <v>0.02</v>
      </c>
      <c r="J126" t="inlineStr">
        <is>
          <t>N</t>
        </is>
      </c>
      <c r="K126" t="inlineStr">
        <is>
          <t>None</t>
        </is>
      </c>
      <c r="L126" t="n">
        <v>1</v>
      </c>
      <c r="M126" s="1" t="n">
        <v>46571</v>
      </c>
      <c r="N126" t="n">
        <v>12</v>
      </c>
    </row>
    <row r="127">
      <c r="A127" t="inlineStr">
        <is>
          <t>HO-000126</t>
        </is>
      </c>
      <c r="B127" t="inlineStr">
        <is>
          <t>T01</t>
        </is>
      </c>
      <c r="C127" t="inlineStr">
        <is>
          <t>Frame</t>
        </is>
      </c>
      <c r="D127" t="n">
        <v>5</v>
      </c>
      <c r="E127" t="n">
        <v>1990</v>
      </c>
      <c r="F127" t="n">
        <v>8</v>
      </c>
      <c r="G127" t="n">
        <v>130000</v>
      </c>
      <c r="H127" t="n">
        <v>1000</v>
      </c>
      <c r="I127" t="n">
        <v>0.02</v>
      </c>
      <c r="J127" t="inlineStr">
        <is>
          <t>N</t>
        </is>
      </c>
      <c r="K127" t="inlineStr">
        <is>
          <t>None</t>
        </is>
      </c>
      <c r="L127" t="n">
        <v>1</v>
      </c>
      <c r="M127" s="1" t="n">
        <v>46683</v>
      </c>
      <c r="N127" t="n">
        <v>12</v>
      </c>
    </row>
    <row r="128">
      <c r="A128" t="inlineStr">
        <is>
          <t>HO-000127</t>
        </is>
      </c>
      <c r="B128" t="inlineStr">
        <is>
          <t>T01</t>
        </is>
      </c>
      <c r="C128" t="inlineStr">
        <is>
          <t>Frame</t>
        </is>
      </c>
      <c r="D128" t="n">
        <v>5</v>
      </c>
      <c r="E128" t="n">
        <v>1990</v>
      </c>
      <c r="F128" t="n">
        <v>8</v>
      </c>
      <c r="G128" t="n">
        <v>200000</v>
      </c>
      <c r="H128" t="n">
        <v>1000</v>
      </c>
      <c r="I128" t="n">
        <v>0.02</v>
      </c>
      <c r="J128" t="inlineStr">
        <is>
          <t>N</t>
        </is>
      </c>
      <c r="K128" t="inlineStr">
        <is>
          <t>None</t>
        </is>
      </c>
      <c r="L128" t="n">
        <v>1</v>
      </c>
      <c r="M128" s="1" t="n">
        <v>46217</v>
      </c>
      <c r="N128" t="n">
        <v>6</v>
      </c>
    </row>
    <row r="129">
      <c r="A129" t="inlineStr">
        <is>
          <t>HO-000128</t>
        </is>
      </c>
      <c r="B129" t="inlineStr">
        <is>
          <t>T01</t>
        </is>
      </c>
      <c r="C129" t="inlineStr">
        <is>
          <t>Frame</t>
        </is>
      </c>
      <c r="D129" t="n">
        <v>5</v>
      </c>
      <c r="E129" t="n">
        <v>1990</v>
      </c>
      <c r="F129" t="n">
        <v>8</v>
      </c>
      <c r="G129" t="n">
        <v>220000</v>
      </c>
      <c r="H129" t="n">
        <v>1000</v>
      </c>
      <c r="I129" t="n">
        <v>0.02</v>
      </c>
      <c r="J129" t="inlineStr">
        <is>
          <t>N</t>
        </is>
      </c>
      <c r="K129" t="inlineStr">
        <is>
          <t>None</t>
        </is>
      </c>
      <c r="L129" t="n">
        <v>1</v>
      </c>
      <c r="M129" s="1" t="n">
        <v>46232</v>
      </c>
      <c r="N129" t="n">
        <v>6</v>
      </c>
    </row>
    <row r="130">
      <c r="A130" t="inlineStr">
        <is>
          <t>HO-000129</t>
        </is>
      </c>
      <c r="B130" t="inlineStr">
        <is>
          <t>T01</t>
        </is>
      </c>
      <c r="C130" t="inlineStr">
        <is>
          <t>Frame</t>
        </is>
      </c>
      <c r="D130" t="n">
        <v>5</v>
      </c>
      <c r="E130" t="n">
        <v>1990</v>
      </c>
      <c r="F130" t="n">
        <v>8</v>
      </c>
      <c r="G130" t="n">
        <v>240000</v>
      </c>
      <c r="H130" t="n">
        <v>1000</v>
      </c>
      <c r="I130" t="n">
        <v>0.02</v>
      </c>
      <c r="J130" t="inlineStr">
        <is>
          <t>N</t>
        </is>
      </c>
      <c r="K130" t="inlineStr">
        <is>
          <t>None</t>
        </is>
      </c>
      <c r="L130" t="n">
        <v>1</v>
      </c>
      <c r="M130" s="1" t="n">
        <v>46771</v>
      </c>
      <c r="N130" t="n">
        <v>6</v>
      </c>
    </row>
    <row r="131">
      <c r="A131" t="inlineStr">
        <is>
          <t>HO-000130</t>
        </is>
      </c>
      <c r="B131" t="inlineStr">
        <is>
          <t>T01</t>
        </is>
      </c>
      <c r="C131" t="inlineStr">
        <is>
          <t>Frame</t>
        </is>
      </c>
      <c r="D131" t="n">
        <v>5</v>
      </c>
      <c r="E131" t="n">
        <v>1990</v>
      </c>
      <c r="F131" t="n">
        <v>8</v>
      </c>
      <c r="G131" t="n">
        <v>260000</v>
      </c>
      <c r="H131" t="n">
        <v>1000</v>
      </c>
      <c r="I131" t="n">
        <v>0.02</v>
      </c>
      <c r="J131" t="inlineStr">
        <is>
          <t>N</t>
        </is>
      </c>
      <c r="K131" t="inlineStr">
        <is>
          <t>None</t>
        </is>
      </c>
      <c r="L131" t="n">
        <v>1</v>
      </c>
      <c r="M131" s="1" t="n">
        <v>46668</v>
      </c>
      <c r="N131" t="n">
        <v>6</v>
      </c>
    </row>
    <row r="132">
      <c r="A132" t="inlineStr">
        <is>
          <t>HO-000131</t>
        </is>
      </c>
      <c r="B132" t="inlineStr">
        <is>
          <t>T01</t>
        </is>
      </c>
      <c r="C132" t="inlineStr">
        <is>
          <t>Frame</t>
        </is>
      </c>
      <c r="D132" t="n">
        <v>5</v>
      </c>
      <c r="E132" t="n">
        <v>1990</v>
      </c>
      <c r="F132" t="n">
        <v>8</v>
      </c>
      <c r="G132" t="n">
        <v>280000</v>
      </c>
      <c r="H132" t="n">
        <v>1000</v>
      </c>
      <c r="I132" t="n">
        <v>0.02</v>
      </c>
      <c r="J132" t="inlineStr">
        <is>
          <t>N</t>
        </is>
      </c>
      <c r="K132" t="inlineStr">
        <is>
          <t>None</t>
        </is>
      </c>
      <c r="L132" t="n">
        <v>1</v>
      </c>
      <c r="M132" s="1" t="n">
        <v>46133</v>
      </c>
      <c r="N132" t="n">
        <v>6</v>
      </c>
    </row>
    <row r="133">
      <c r="A133" t="inlineStr">
        <is>
          <t>HO-000132</t>
        </is>
      </c>
      <c r="B133" t="inlineStr">
        <is>
          <t>T01</t>
        </is>
      </c>
      <c r="C133" t="inlineStr">
        <is>
          <t>Frame</t>
        </is>
      </c>
      <c r="D133" t="n">
        <v>5</v>
      </c>
      <c r="E133" t="n">
        <v>1990</v>
      </c>
      <c r="F133" t="n">
        <v>8</v>
      </c>
      <c r="G133" t="n">
        <v>300000</v>
      </c>
      <c r="H133" t="n">
        <v>1000</v>
      </c>
      <c r="I133" t="n">
        <v>0.02</v>
      </c>
      <c r="J133" t="inlineStr">
        <is>
          <t>N</t>
        </is>
      </c>
      <c r="K133" t="inlineStr">
        <is>
          <t>None</t>
        </is>
      </c>
      <c r="L133" t="n">
        <v>1</v>
      </c>
      <c r="M133" s="1" t="n">
        <v>46885</v>
      </c>
      <c r="N133" t="n">
        <v>6</v>
      </c>
    </row>
    <row r="134">
      <c r="A134" t="inlineStr">
        <is>
          <t>HO-000133</t>
        </is>
      </c>
      <c r="B134" t="inlineStr">
        <is>
          <t>T01</t>
        </is>
      </c>
      <c r="C134" t="inlineStr">
        <is>
          <t>Masonry</t>
        </is>
      </c>
      <c r="D134" t="n">
        <v>4</v>
      </c>
      <c r="E134" t="n">
        <v>1990</v>
      </c>
      <c r="F134" t="n">
        <v>11</v>
      </c>
      <c r="G134" t="n">
        <v>201000</v>
      </c>
      <c r="H134" t="n">
        <v>5000</v>
      </c>
      <c r="I134" t="n">
        <v>0.02</v>
      </c>
      <c r="J134" t="inlineStr">
        <is>
          <t>Y</t>
        </is>
      </c>
      <c r="K134" t="inlineStr">
        <is>
          <t>Basic</t>
        </is>
      </c>
      <c r="L134" t="n">
        <v>0</v>
      </c>
      <c r="M134" s="1" t="n">
        <v>46141</v>
      </c>
      <c r="N134" t="n">
        <v>12</v>
      </c>
    </row>
    <row r="135">
      <c r="A135" t="inlineStr">
        <is>
          <t>HO-000134</t>
        </is>
      </c>
      <c r="B135" t="inlineStr">
        <is>
          <t>T08</t>
        </is>
      </c>
      <c r="C135" t="inlineStr">
        <is>
          <t>Masonry</t>
        </is>
      </c>
      <c r="D135" t="n">
        <v>8</v>
      </c>
      <c r="E135" t="n">
        <v>2026</v>
      </c>
      <c r="F135" t="n">
        <v>27</v>
      </c>
      <c r="G135" t="n">
        <v>203000</v>
      </c>
      <c r="H135" t="n">
        <v>10000</v>
      </c>
      <c r="K135" t="inlineStr">
        <is>
          <t>None</t>
        </is>
      </c>
      <c r="L135" t="n">
        <v>1</v>
      </c>
      <c r="M135" s="1" t="n">
        <v>46244</v>
      </c>
      <c r="N135" t="n">
        <v>12</v>
      </c>
    </row>
    <row r="136">
      <c r="A136" t="inlineStr">
        <is>
          <t>HO-000135</t>
        </is>
      </c>
      <c r="B136" t="inlineStr">
        <is>
          <t>T01</t>
        </is>
      </c>
      <c r="C136" t="inlineStr">
        <is>
          <t>FireResistive</t>
        </is>
      </c>
      <c r="D136" t="n">
        <v>9</v>
      </c>
      <c r="E136" t="n">
        <v>2013</v>
      </c>
      <c r="F136" t="n">
        <v>9</v>
      </c>
      <c r="G136" t="n">
        <v>205000</v>
      </c>
      <c r="H136" t="n">
        <v>2500</v>
      </c>
      <c r="I136" t="n">
        <v>0.02</v>
      </c>
      <c r="J136" t="inlineStr">
        <is>
          <t>y</t>
        </is>
      </c>
      <c r="L136" t="n">
        <v>1</v>
      </c>
      <c r="M136" s="1" t="n">
        <v>46198</v>
      </c>
      <c r="N136" t="n">
        <v>12</v>
      </c>
    </row>
    <row r="137">
      <c r="A137" t="inlineStr">
        <is>
          <t>HO-000136</t>
        </is>
      </c>
      <c r="B137" t="inlineStr">
        <is>
          <t>T02</t>
        </is>
      </c>
      <c r="C137" t="inlineStr">
        <is>
          <t>FireResistive</t>
        </is>
      </c>
      <c r="D137" t="n">
        <v>5</v>
      </c>
      <c r="E137" t="n">
        <v>1957</v>
      </c>
      <c r="F137" t="n">
        <v>22</v>
      </c>
      <c r="G137" t="n">
        <v>207000</v>
      </c>
      <c r="H137" t="n">
        <v>10000</v>
      </c>
      <c r="L137" t="n">
        <v>0</v>
      </c>
      <c r="M137" s="1" t="n">
        <v>46673</v>
      </c>
      <c r="N137" t="n">
        <v>12</v>
      </c>
    </row>
    <row r="138">
      <c r="A138" t="inlineStr">
        <is>
          <t>HO-000137</t>
        </is>
      </c>
      <c r="B138" t="inlineStr">
        <is>
          <t>T06</t>
        </is>
      </c>
      <c r="C138" t="inlineStr">
        <is>
          <t>FireResistive</t>
        </is>
      </c>
      <c r="D138" t="n">
        <v>1</v>
      </c>
      <c r="E138" t="n">
        <v>2009</v>
      </c>
      <c r="F138" t="n">
        <v>10</v>
      </c>
      <c r="G138" t="n">
        <v>209000</v>
      </c>
      <c r="H138" t="n">
        <v>7500</v>
      </c>
      <c r="I138" t="n">
        <v>0.1</v>
      </c>
      <c r="M138" s="1" t="n">
        <v>46650</v>
      </c>
      <c r="N138" t="n">
        <v>6</v>
      </c>
    </row>
    <row r="139">
      <c r="A139" t="inlineStr">
        <is>
          <t>HO-000138</t>
        </is>
      </c>
      <c r="B139" t="inlineStr">
        <is>
          <t>T06</t>
        </is>
      </c>
      <c r="C139" t="inlineStr">
        <is>
          <t>FireResistive</t>
        </is>
      </c>
      <c r="D139" t="n">
        <v>5</v>
      </c>
      <c r="E139" t="n">
        <v>2014</v>
      </c>
      <c r="F139" t="n">
        <v>6</v>
      </c>
      <c r="G139" t="n">
        <v>211000</v>
      </c>
      <c r="H139" t="n">
        <v>25000</v>
      </c>
      <c r="I139" t="n">
        <v>0.03</v>
      </c>
      <c r="J139" t="inlineStr">
        <is>
          <t>N</t>
        </is>
      </c>
      <c r="L139" t="n">
        <v>4</v>
      </c>
      <c r="M139" s="1" t="n">
        <v>46072</v>
      </c>
      <c r="N139" t="n">
        <v>6</v>
      </c>
    </row>
    <row r="140">
      <c r="A140" t="inlineStr">
        <is>
          <t>HO-000139</t>
        </is>
      </c>
      <c r="B140" t="inlineStr">
        <is>
          <t>T06</t>
        </is>
      </c>
      <c r="C140" t="inlineStr">
        <is>
          <t>Frame</t>
        </is>
      </c>
      <c r="D140" t="n">
        <v>10</v>
      </c>
      <c r="E140" t="n">
        <v>2021</v>
      </c>
      <c r="F140" t="n">
        <v>28</v>
      </c>
      <c r="G140" t="n">
        <v>213000</v>
      </c>
      <c r="H140" t="n">
        <v>2500</v>
      </c>
      <c r="I140" t="n">
        <v>0.05</v>
      </c>
      <c r="J140" t="inlineStr">
        <is>
          <t>y</t>
        </is>
      </c>
      <c r="K140" t="inlineStr">
        <is>
          <t>fortified</t>
        </is>
      </c>
      <c r="L140" t="n">
        <v>1</v>
      </c>
      <c r="M140" s="1" t="n">
        <v>46498</v>
      </c>
      <c r="N140" t="n">
        <v>12</v>
      </c>
    </row>
    <row r="141">
      <c r="A141" t="inlineStr">
        <is>
          <t>HO-000140</t>
        </is>
      </c>
      <c r="B141" t="inlineStr">
        <is>
          <t>T02</t>
        </is>
      </c>
      <c r="C141" t="inlineStr">
        <is>
          <t>FireResistive</t>
        </is>
      </c>
      <c r="D141" t="n">
        <v>3</v>
      </c>
      <c r="E141" t="n">
        <v>1928</v>
      </c>
      <c r="F141" t="n">
        <v>9</v>
      </c>
      <c r="G141" t="n">
        <v>215000</v>
      </c>
      <c r="H141" t="n">
        <v>1000</v>
      </c>
      <c r="I141" t="n">
        <v>0.1</v>
      </c>
      <c r="J141" t="inlineStr">
        <is>
          <t>y</t>
        </is>
      </c>
      <c r="K141" t="inlineStr">
        <is>
          <t>None</t>
        </is>
      </c>
      <c r="L141" t="n">
        <v>3</v>
      </c>
      <c r="M141" s="1" t="n">
        <v>46921</v>
      </c>
      <c r="N141" t="n">
        <v>12</v>
      </c>
    </row>
    <row r="142">
      <c r="A142" t="inlineStr">
        <is>
          <t>HO-000141</t>
        </is>
      </c>
      <c r="B142" t="inlineStr">
        <is>
          <t>T01</t>
        </is>
      </c>
      <c r="C142" t="inlineStr">
        <is>
          <t>MasonryVeneer</t>
        </is>
      </c>
      <c r="D142" t="n">
        <v>2</v>
      </c>
      <c r="E142" t="n">
        <v>1977</v>
      </c>
      <c r="F142" t="n">
        <v>22</v>
      </c>
      <c r="G142" t="n">
        <v>217000</v>
      </c>
      <c r="H142" t="n">
        <v>250</v>
      </c>
      <c r="I142" t="n">
        <v>0.03</v>
      </c>
      <c r="J142" t="inlineStr">
        <is>
          <t>Y</t>
        </is>
      </c>
      <c r="K142" t="inlineStr">
        <is>
          <t>Basic</t>
        </is>
      </c>
      <c r="M142" s="1" t="n">
        <v>46421</v>
      </c>
      <c r="N142" t="n">
        <v>12</v>
      </c>
    </row>
    <row r="143">
      <c r="A143" t="inlineStr">
        <is>
          <t>HO-000142</t>
        </is>
      </c>
      <c r="B143" t="inlineStr">
        <is>
          <t>T01</t>
        </is>
      </c>
      <c r="C143" t="inlineStr">
        <is>
          <t>Masonry</t>
        </is>
      </c>
      <c r="D143" t="n">
        <v>3</v>
      </c>
      <c r="E143" t="n">
        <v>1929</v>
      </c>
      <c r="F143" t="n">
        <v>17</v>
      </c>
      <c r="G143" t="n">
        <v>219000</v>
      </c>
      <c r="H143" t="n">
        <v>10000</v>
      </c>
      <c r="I143" t="n">
        <v>0.03</v>
      </c>
      <c r="K143" t="inlineStr">
        <is>
          <t>Basic</t>
        </is>
      </c>
      <c r="L143" t="n">
        <v>3</v>
      </c>
      <c r="M143" s="1" t="n">
        <v>46609</v>
      </c>
      <c r="N143" t="n">
        <v>12</v>
      </c>
    </row>
    <row r="144">
      <c r="A144" t="inlineStr">
        <is>
          <t>HO-000143</t>
        </is>
      </c>
      <c r="B144" t="inlineStr">
        <is>
          <t>T01</t>
        </is>
      </c>
      <c r="C144" t="inlineStr">
        <is>
          <t>Frame</t>
        </is>
      </c>
      <c r="D144" t="n">
        <v>10</v>
      </c>
      <c r="E144" t="n">
        <v>1991</v>
      </c>
      <c r="F144" t="n">
        <v>18</v>
      </c>
      <c r="G144" t="n">
        <v>221000</v>
      </c>
      <c r="H144" t="n">
        <v>500</v>
      </c>
      <c r="I144" t="n">
        <v>0.02</v>
      </c>
      <c r="J144" t="inlineStr">
        <is>
          <t>Y</t>
        </is>
      </c>
      <c r="K144" t="inlineStr">
        <is>
          <t>Basic</t>
        </is>
      </c>
      <c r="L144" t="n">
        <v>0</v>
      </c>
      <c r="M144" s="1" t="n">
        <v>46138</v>
      </c>
      <c r="N144" t="n">
        <v>12</v>
      </c>
    </row>
    <row r="145">
      <c r="A145" t="inlineStr">
        <is>
          <t>HO-000144</t>
        </is>
      </c>
      <c r="B145" t="inlineStr">
        <is>
          <t>T08</t>
        </is>
      </c>
      <c r="C145" t="inlineStr">
        <is>
          <t>Frame</t>
        </is>
      </c>
      <c r="D145" t="n">
        <v>2</v>
      </c>
      <c r="E145" t="n">
        <v>2005</v>
      </c>
      <c r="F145" t="n">
        <v>28</v>
      </c>
      <c r="G145" t="n">
        <v>223000</v>
      </c>
      <c r="H145" t="n">
        <v>7500</v>
      </c>
      <c r="I145" t="n">
        <v>0.03</v>
      </c>
      <c r="K145" t="inlineStr">
        <is>
          <t>Fortified</t>
        </is>
      </c>
      <c r="L145" t="n">
        <v>0</v>
      </c>
      <c r="M145" s="1" t="n">
        <v>46896</v>
      </c>
      <c r="N145" t="n">
        <v>6</v>
      </c>
    </row>
    <row r="146">
      <c r="A146" t="inlineStr">
        <is>
          <t>HO-000145</t>
        </is>
      </c>
      <c r="B146" t="inlineStr">
        <is>
          <t>T01</t>
        </is>
      </c>
      <c r="C146" t="inlineStr">
        <is>
          <t>Frame</t>
        </is>
      </c>
      <c r="D146" t="n">
        <v>7</v>
      </c>
      <c r="E146" t="n">
        <v>2018</v>
      </c>
      <c r="F146" t="n">
        <v>24</v>
      </c>
      <c r="G146" t="n">
        <v>225000</v>
      </c>
      <c r="H146" t="n">
        <v>2500</v>
      </c>
      <c r="J146" t="inlineStr">
        <is>
          <t>y</t>
        </is>
      </c>
      <c r="L146" t="n">
        <v>1</v>
      </c>
      <c r="M146" s="1" t="n">
        <v>46551</v>
      </c>
      <c r="N146" t="n">
        <v>6</v>
      </c>
    </row>
    <row r="147">
      <c r="A147" t="inlineStr">
        <is>
          <t>HO-000146</t>
        </is>
      </c>
      <c r="B147" t="inlineStr">
        <is>
          <t>T06</t>
        </is>
      </c>
      <c r="C147" t="inlineStr">
        <is>
          <t>MasonryVeneer</t>
        </is>
      </c>
      <c r="D147" t="n">
        <v>4</v>
      </c>
      <c r="E147" t="n">
        <v>1946</v>
      </c>
      <c r="F147" t="n">
        <v>19</v>
      </c>
      <c r="G147" t="n">
        <v>227000</v>
      </c>
      <c r="H147" t="n">
        <v>250</v>
      </c>
      <c r="I147" t="n">
        <v>0.1</v>
      </c>
      <c r="J147" t="inlineStr">
        <is>
          <t>y</t>
        </is>
      </c>
      <c r="K147" t="inlineStr">
        <is>
          <t>fortified</t>
        </is>
      </c>
      <c r="L147" t="n">
        <v>0</v>
      </c>
      <c r="M147" s="1" t="n">
        <v>46845</v>
      </c>
      <c r="N147" t="n">
        <v>12</v>
      </c>
    </row>
    <row r="148">
      <c r="A148" t="inlineStr">
        <is>
          <t>HO-000147</t>
        </is>
      </c>
      <c r="B148" t="inlineStr">
        <is>
          <t>T01</t>
        </is>
      </c>
      <c r="C148" t="inlineStr">
        <is>
          <t>MasonryVeneer</t>
        </is>
      </c>
      <c r="D148" t="n">
        <v>4</v>
      </c>
      <c r="E148" t="n">
        <v>2022</v>
      </c>
      <c r="F148" t="n">
        <v>8</v>
      </c>
      <c r="G148" t="n">
        <v>229000</v>
      </c>
      <c r="H148" t="n">
        <v>250</v>
      </c>
      <c r="I148" t="n">
        <v>0.02</v>
      </c>
      <c r="K148" t="inlineStr">
        <is>
          <t>Basic</t>
        </is>
      </c>
      <c r="L148" t="n">
        <v>0</v>
      </c>
      <c r="M148" s="1" t="n">
        <v>46316</v>
      </c>
      <c r="N148" t="n">
        <v>12</v>
      </c>
    </row>
    <row r="149">
      <c r="A149" t="inlineStr">
        <is>
          <t>HO-000148</t>
        </is>
      </c>
      <c r="B149" t="inlineStr">
        <is>
          <t>T06</t>
        </is>
      </c>
      <c r="C149" t="inlineStr">
        <is>
          <t>Masonry</t>
        </is>
      </c>
      <c r="D149" t="n">
        <v>3</v>
      </c>
      <c r="E149" t="n">
        <v>1934</v>
      </c>
      <c r="F149" t="n">
        <v>3</v>
      </c>
      <c r="G149" t="n">
        <v>231000</v>
      </c>
      <c r="H149" t="n">
        <v>1500</v>
      </c>
      <c r="I149" t="n">
        <v>0.1</v>
      </c>
      <c r="J149" t="inlineStr">
        <is>
          <t>Y</t>
        </is>
      </c>
      <c r="K149" t="inlineStr">
        <is>
          <t>Basic</t>
        </is>
      </c>
      <c r="L149" t="n">
        <v>0</v>
      </c>
      <c r="M149" s="1" t="n">
        <v>46839</v>
      </c>
      <c r="N149" t="n">
        <v>6</v>
      </c>
    </row>
    <row r="150">
      <c r="A150" t="inlineStr">
        <is>
          <t>HO-000149</t>
        </is>
      </c>
      <c r="B150" t="inlineStr">
        <is>
          <t>T08</t>
        </is>
      </c>
      <c r="C150" t="inlineStr">
        <is>
          <t>Masonry</t>
        </is>
      </c>
      <c r="D150" t="n">
        <v>9</v>
      </c>
      <c r="E150" t="n">
        <v>1949</v>
      </c>
      <c r="F150" t="n">
        <v>29</v>
      </c>
      <c r="G150" t="n">
        <v>233000</v>
      </c>
      <c r="H150" t="n">
        <v>250</v>
      </c>
      <c r="K150" t="inlineStr">
        <is>
          <t>None</t>
        </is>
      </c>
      <c r="L150" t="n">
        <v>0</v>
      </c>
      <c r="M150" s="1" t="n">
        <v>46878</v>
      </c>
      <c r="N150" t="n">
        <v>12</v>
      </c>
    </row>
    <row r="151">
      <c r="A151" t="inlineStr">
        <is>
          <t>HO-000150</t>
        </is>
      </c>
      <c r="B151" t="inlineStr">
        <is>
          <t>T02</t>
        </is>
      </c>
      <c r="C151" t="inlineStr">
        <is>
          <t>Frame</t>
        </is>
      </c>
      <c r="D151" t="n">
        <v>8</v>
      </c>
      <c r="E151" t="n">
        <v>1962</v>
      </c>
      <c r="F151" t="n">
        <v>4</v>
      </c>
      <c r="G151" t="n">
        <v>235000</v>
      </c>
      <c r="H151" t="n">
        <v>250</v>
      </c>
      <c r="I151" t="n">
        <v>0.03</v>
      </c>
      <c r="J151" t="inlineStr">
        <is>
          <t>Y</t>
        </is>
      </c>
      <c r="K151" t="inlineStr">
        <is>
          <t>Basic</t>
        </is>
      </c>
      <c r="L151" t="n">
        <v>3</v>
      </c>
      <c r="M151" s="1" t="n">
        <v>46176</v>
      </c>
      <c r="N151" t="n">
        <v>12</v>
      </c>
    </row>
    <row r="152">
      <c r="A152" t="inlineStr">
        <is>
          <t>HO-000151</t>
        </is>
      </c>
      <c r="B152" t="inlineStr">
        <is>
          <t>T06</t>
        </is>
      </c>
      <c r="C152" t="inlineStr">
        <is>
          <t>Masonry</t>
        </is>
      </c>
      <c r="D152" t="n">
        <v>5</v>
      </c>
      <c r="E152" t="n">
        <v>1966</v>
      </c>
      <c r="F152" t="n">
        <v>3</v>
      </c>
      <c r="G152" t="n">
        <v>237000</v>
      </c>
      <c r="H152" t="n">
        <v>2500</v>
      </c>
      <c r="I152" t="n">
        <v>0.05</v>
      </c>
      <c r="J152" t="inlineStr">
        <is>
          <t>Y</t>
        </is>
      </c>
      <c r="K152" t="inlineStr">
        <is>
          <t>None</t>
        </is>
      </c>
      <c r="L152" t="n">
        <v>0</v>
      </c>
      <c r="M152" s="1" t="n">
        <v>46522</v>
      </c>
      <c r="N152" t="n">
        <v>12</v>
      </c>
    </row>
    <row r="153">
      <c r="A153" t="inlineStr">
        <is>
          <t>HO-000152</t>
        </is>
      </c>
      <c r="B153" t="inlineStr">
        <is>
          <t>T08</t>
        </is>
      </c>
      <c r="C153" t="inlineStr">
        <is>
          <t>FireResistive</t>
        </is>
      </c>
      <c r="D153" t="n">
        <v>1</v>
      </c>
      <c r="E153" t="n">
        <v>1998</v>
      </c>
      <c r="F153" t="n">
        <v>12</v>
      </c>
      <c r="G153" t="n">
        <v>239000</v>
      </c>
      <c r="H153" t="n">
        <v>5000</v>
      </c>
      <c r="J153" t="inlineStr">
        <is>
          <t>Y</t>
        </is>
      </c>
      <c r="L153" t="n">
        <v>1</v>
      </c>
      <c r="M153" s="1" t="n">
        <v>46406</v>
      </c>
      <c r="N153" t="n">
        <v>12</v>
      </c>
    </row>
    <row r="154">
      <c r="A154" t="inlineStr">
        <is>
          <t>HO-000153</t>
        </is>
      </c>
      <c r="B154" t="inlineStr">
        <is>
          <t>T08</t>
        </is>
      </c>
      <c r="C154" t="inlineStr">
        <is>
          <t>Frame</t>
        </is>
      </c>
      <c r="D154" t="n">
        <v>1</v>
      </c>
      <c r="E154" t="n">
        <v>1939</v>
      </c>
      <c r="F154" t="n">
        <v>5</v>
      </c>
      <c r="G154" t="n">
        <v>241000</v>
      </c>
      <c r="H154" t="n">
        <v>10000</v>
      </c>
      <c r="K154" t="inlineStr">
        <is>
          <t>None</t>
        </is>
      </c>
      <c r="L154" t="n">
        <v>4</v>
      </c>
      <c r="M154" s="1" t="n">
        <v>46141</v>
      </c>
      <c r="N154" t="n">
        <v>12</v>
      </c>
    </row>
    <row r="155">
      <c r="A155" t="inlineStr">
        <is>
          <t>HO-000154</t>
        </is>
      </c>
      <c r="B155" t="inlineStr">
        <is>
          <t>T08</t>
        </is>
      </c>
      <c r="C155" t="inlineStr">
        <is>
          <t>MasonryVeneer</t>
        </is>
      </c>
      <c r="D155" t="n">
        <v>10</v>
      </c>
      <c r="E155" t="n">
        <v>1978</v>
      </c>
      <c r="F155" t="n">
        <v>1</v>
      </c>
      <c r="G155" t="n">
        <v>243000</v>
      </c>
      <c r="H155" t="n">
        <v>1000</v>
      </c>
      <c r="I155" t="n">
        <v>0.03</v>
      </c>
      <c r="K155" t="inlineStr">
        <is>
          <t>Fortified</t>
        </is>
      </c>
      <c r="L155" t="n">
        <v>1</v>
      </c>
      <c r="M155" s="1" t="n">
        <v>46498</v>
      </c>
      <c r="N155" t="n">
        <v>12</v>
      </c>
    </row>
    <row r="156">
      <c r="A156" t="inlineStr">
        <is>
          <t>HO-000155</t>
        </is>
      </c>
      <c r="B156" t="inlineStr">
        <is>
          <t>T06</t>
        </is>
      </c>
      <c r="C156" t="inlineStr">
        <is>
          <t>MasonryVeneer</t>
        </is>
      </c>
      <c r="D156" t="n">
        <v>2</v>
      </c>
      <c r="E156" t="n">
        <v>1970</v>
      </c>
      <c r="F156" t="n">
        <v>28</v>
      </c>
      <c r="G156" t="n">
        <v>245000</v>
      </c>
      <c r="H156" t="n">
        <v>7500</v>
      </c>
      <c r="I156" t="n">
        <v>0.02</v>
      </c>
      <c r="J156" t="inlineStr">
        <is>
          <t>Y</t>
        </is>
      </c>
      <c r="K156" t="inlineStr">
        <is>
          <t>None</t>
        </is>
      </c>
      <c r="L156" t="n">
        <v>0</v>
      </c>
      <c r="M156" s="1" t="n">
        <v>46410</v>
      </c>
      <c r="N156" t="n">
        <v>12</v>
      </c>
    </row>
    <row r="157">
      <c r="A157" t="inlineStr">
        <is>
          <t>HO-000156</t>
        </is>
      </c>
      <c r="B157" t="inlineStr">
        <is>
          <t>T01</t>
        </is>
      </c>
      <c r="C157" t="inlineStr">
        <is>
          <t>Masonry</t>
        </is>
      </c>
      <c r="D157" t="n">
        <v>2</v>
      </c>
      <c r="E157" t="n">
        <v>1995</v>
      </c>
      <c r="F157" t="n">
        <v>19</v>
      </c>
      <c r="G157" t="n">
        <v>247000</v>
      </c>
      <c r="H157" t="n">
        <v>2500</v>
      </c>
      <c r="I157" t="n">
        <v>0.03</v>
      </c>
      <c r="J157" t="inlineStr">
        <is>
          <t>Y</t>
        </is>
      </c>
      <c r="K157" t="inlineStr">
        <is>
          <t>Fortified</t>
        </is>
      </c>
      <c r="L157" t="n">
        <v>0</v>
      </c>
      <c r="M157" s="1" t="n">
        <v>46320</v>
      </c>
      <c r="N157" t="n">
        <v>12</v>
      </c>
    </row>
    <row r="158">
      <c r="A158" t="inlineStr">
        <is>
          <t>HO-000157</t>
        </is>
      </c>
      <c r="B158" t="inlineStr">
        <is>
          <t>T08</t>
        </is>
      </c>
      <c r="C158" t="inlineStr">
        <is>
          <t>Masonry</t>
        </is>
      </c>
      <c r="D158" t="n">
        <v>4</v>
      </c>
      <c r="E158" t="n">
        <v>1987</v>
      </c>
      <c r="F158" t="n">
        <v>19</v>
      </c>
      <c r="G158" t="n">
        <v>249000</v>
      </c>
      <c r="H158" t="n">
        <v>25000</v>
      </c>
      <c r="I158" t="n">
        <v>0.03</v>
      </c>
      <c r="J158" t="inlineStr">
        <is>
          <t>y</t>
        </is>
      </c>
      <c r="K158" t="inlineStr">
        <is>
          <t>fortified</t>
        </is>
      </c>
      <c r="L158" t="n">
        <v>1</v>
      </c>
      <c r="M158" s="1" t="n">
        <v>46831</v>
      </c>
      <c r="N158" t="n">
        <v>12</v>
      </c>
    </row>
    <row r="159">
      <c r="A159" t="inlineStr">
        <is>
          <t>HO-000158</t>
        </is>
      </c>
      <c r="B159" t="inlineStr">
        <is>
          <t>T01</t>
        </is>
      </c>
      <c r="C159" t="inlineStr">
        <is>
          <t>MasonryVeneer</t>
        </is>
      </c>
      <c r="D159" t="n">
        <v>3</v>
      </c>
      <c r="E159" t="n">
        <v>1959</v>
      </c>
      <c r="F159" t="n">
        <v>13</v>
      </c>
      <c r="G159" t="n">
        <v>251000</v>
      </c>
      <c r="H159" t="n">
        <v>5000</v>
      </c>
      <c r="I159" t="n">
        <v>0.03</v>
      </c>
      <c r="K159" t="inlineStr">
        <is>
          <t>fortified</t>
        </is>
      </c>
      <c r="L159" t="n">
        <v>4</v>
      </c>
      <c r="M159" s="1" t="n">
        <v>46450</v>
      </c>
      <c r="N159" t="n">
        <v>12</v>
      </c>
    </row>
    <row r="160">
      <c r="A160" t="inlineStr">
        <is>
          <t>HO-000159</t>
        </is>
      </c>
      <c r="B160" t="inlineStr">
        <is>
          <t>T08</t>
        </is>
      </c>
      <c r="C160" t="inlineStr">
        <is>
          <t>MasonryVeneer</t>
        </is>
      </c>
      <c r="D160" t="n">
        <v>6</v>
      </c>
      <c r="E160" t="n">
        <v>1991</v>
      </c>
      <c r="F160" t="n">
        <v>26</v>
      </c>
      <c r="G160" t="n">
        <v>253000</v>
      </c>
      <c r="H160" t="n">
        <v>5000</v>
      </c>
      <c r="I160" t="n">
        <v>0.02</v>
      </c>
      <c r="J160" t="inlineStr">
        <is>
          <t>Y</t>
        </is>
      </c>
      <c r="K160" t="inlineStr">
        <is>
          <t>Fortified</t>
        </is>
      </c>
      <c r="L160" t="n">
        <v>1</v>
      </c>
      <c r="M160" s="1" t="n">
        <v>46773</v>
      </c>
      <c r="N160" t="n">
        <v>6</v>
      </c>
    </row>
    <row r="161">
      <c r="A161" t="inlineStr">
        <is>
          <t>HO-000160</t>
        </is>
      </c>
      <c r="B161" t="inlineStr">
        <is>
          <t>T08</t>
        </is>
      </c>
      <c r="C161" t="inlineStr">
        <is>
          <t>Masonry</t>
        </is>
      </c>
      <c r="D161" t="n">
        <v>5</v>
      </c>
      <c r="E161" t="n">
        <v>1928</v>
      </c>
      <c r="F161" t="n">
        <v>19</v>
      </c>
      <c r="G161" t="n">
        <v>255000</v>
      </c>
      <c r="H161" t="n">
        <v>2500</v>
      </c>
      <c r="I161" t="n">
        <v>0.05</v>
      </c>
      <c r="J161" t="inlineStr">
        <is>
          <t>y</t>
        </is>
      </c>
      <c r="K161" t="inlineStr">
        <is>
          <t>Fortified</t>
        </is>
      </c>
      <c r="M161" s="1" t="n">
        <v>46100</v>
      </c>
      <c r="N161" t="n">
        <v>6</v>
      </c>
    </row>
    <row r="162">
      <c r="A162" t="inlineStr">
        <is>
          <t>HO-000161</t>
        </is>
      </c>
      <c r="B162" t="inlineStr">
        <is>
          <t>T06</t>
        </is>
      </c>
      <c r="C162" t="inlineStr">
        <is>
          <t>Masonry</t>
        </is>
      </c>
      <c r="D162" t="n">
        <v>7</v>
      </c>
      <c r="E162" t="n">
        <v>2008</v>
      </c>
      <c r="F162" t="n">
        <v>11</v>
      </c>
      <c r="G162" t="n">
        <v>257000</v>
      </c>
      <c r="H162" t="n">
        <v>25000</v>
      </c>
      <c r="I162" t="n">
        <v>0.05</v>
      </c>
      <c r="J162" t="inlineStr">
        <is>
          <t>N</t>
        </is>
      </c>
      <c r="K162" t="inlineStr">
        <is>
          <t>Basic</t>
        </is>
      </c>
      <c r="L162" t="n">
        <v>0</v>
      </c>
      <c r="M162" s="1" t="n">
        <v>46622</v>
      </c>
      <c r="N162" t="n">
        <v>6</v>
      </c>
    </row>
    <row r="163">
      <c r="A163" t="inlineStr">
        <is>
          <t>HO-000162</t>
        </is>
      </c>
      <c r="B163" t="inlineStr">
        <is>
          <t>T02</t>
        </is>
      </c>
      <c r="C163" t="inlineStr">
        <is>
          <t>MasonryVeneer</t>
        </is>
      </c>
      <c r="D163" t="n">
        <v>4</v>
      </c>
      <c r="E163" t="n">
        <v>2013</v>
      </c>
      <c r="G163" t="n">
        <v>259000</v>
      </c>
      <c r="H163" t="n">
        <v>250</v>
      </c>
      <c r="I163" t="n">
        <v>0.1</v>
      </c>
      <c r="J163" t="inlineStr">
        <is>
          <t>y</t>
        </is>
      </c>
      <c r="K163" t="inlineStr">
        <is>
          <t>Basic</t>
        </is>
      </c>
      <c r="L163" t="n">
        <v>4</v>
      </c>
      <c r="M163" s="1" t="n">
        <v>46649</v>
      </c>
      <c r="N163" t="n">
        <v>6</v>
      </c>
    </row>
    <row r="164">
      <c r="A164" t="inlineStr">
        <is>
          <t>HO-000163</t>
        </is>
      </c>
      <c r="B164" t="inlineStr">
        <is>
          <t>T08</t>
        </is>
      </c>
      <c r="C164" t="inlineStr">
        <is>
          <t>Frame</t>
        </is>
      </c>
      <c r="D164" t="n">
        <v>5</v>
      </c>
      <c r="E164" t="n">
        <v>2019</v>
      </c>
      <c r="F164" t="n">
        <v>24</v>
      </c>
      <c r="G164" t="n">
        <v>261000</v>
      </c>
      <c r="H164" t="n">
        <v>1500</v>
      </c>
      <c r="I164" t="n">
        <v>0.1</v>
      </c>
      <c r="J164" t="inlineStr">
        <is>
          <t>Y</t>
        </is>
      </c>
      <c r="K164" t="inlineStr">
        <is>
          <t>Basic</t>
        </is>
      </c>
      <c r="L164" t="n">
        <v>1</v>
      </c>
      <c r="M164" s="1" t="n">
        <v>46691</v>
      </c>
      <c r="N164" t="n">
        <v>12</v>
      </c>
    </row>
    <row r="165">
      <c r="A165" t="inlineStr">
        <is>
          <t>HO-000164</t>
        </is>
      </c>
      <c r="B165" t="inlineStr">
        <is>
          <t>T01</t>
        </is>
      </c>
      <c r="C165" t="inlineStr">
        <is>
          <t>MasonryVeneer</t>
        </is>
      </c>
      <c r="D165" t="n">
        <v>7</v>
      </c>
      <c r="E165" t="n">
        <v>1954</v>
      </c>
      <c r="F165" t="n">
        <v>2</v>
      </c>
      <c r="G165" t="n">
        <v>263000</v>
      </c>
      <c r="H165" t="n">
        <v>2500</v>
      </c>
      <c r="I165" t="n">
        <v>0.1</v>
      </c>
      <c r="J165" t="inlineStr">
        <is>
          <t>Y</t>
        </is>
      </c>
      <c r="K165" t="inlineStr">
        <is>
          <t>fortified</t>
        </is>
      </c>
      <c r="M165" s="1" t="n">
        <v>46875</v>
      </c>
      <c r="N165" t="n">
        <v>6</v>
      </c>
    </row>
    <row r="166">
      <c r="A166" t="inlineStr">
        <is>
          <t>HO-000165</t>
        </is>
      </c>
      <c r="B166" t="inlineStr">
        <is>
          <t>T08</t>
        </is>
      </c>
      <c r="C166" t="inlineStr">
        <is>
          <t>FireResistive</t>
        </is>
      </c>
      <c r="D166" t="n">
        <v>8</v>
      </c>
      <c r="E166" t="n">
        <v>1993</v>
      </c>
      <c r="F166" t="n">
        <v>2</v>
      </c>
      <c r="G166" t="n">
        <v>265000</v>
      </c>
      <c r="H166" t="n">
        <v>10000</v>
      </c>
      <c r="I166" t="n">
        <v>0.1</v>
      </c>
      <c r="K166" t="inlineStr">
        <is>
          <t>None</t>
        </is>
      </c>
      <c r="L166" t="n">
        <v>0</v>
      </c>
      <c r="M166" s="1" t="n">
        <v>46804</v>
      </c>
      <c r="N166" t="n">
        <v>12</v>
      </c>
    </row>
    <row r="167">
      <c r="A167" t="inlineStr">
        <is>
          <t>HO-000166</t>
        </is>
      </c>
      <c r="B167" t="inlineStr">
        <is>
          <t>T08</t>
        </is>
      </c>
      <c r="C167" t="inlineStr">
        <is>
          <t>MasonryVeneer</t>
        </is>
      </c>
      <c r="D167" t="n">
        <v>9</v>
      </c>
      <c r="E167" t="n">
        <v>1968</v>
      </c>
      <c r="F167" t="n">
        <v>3</v>
      </c>
      <c r="G167" t="n">
        <v>267000</v>
      </c>
      <c r="H167" t="n">
        <v>1000</v>
      </c>
      <c r="I167" t="n">
        <v>0.05</v>
      </c>
      <c r="J167" t="inlineStr">
        <is>
          <t>y</t>
        </is>
      </c>
      <c r="K167" t="inlineStr">
        <is>
          <t>fortified</t>
        </is>
      </c>
      <c r="L167" t="n">
        <v>3</v>
      </c>
      <c r="M167" s="1" t="n">
        <v>46036</v>
      </c>
      <c r="N167" t="n">
        <v>12</v>
      </c>
    </row>
    <row r="168">
      <c r="A168" t="inlineStr">
        <is>
          <t>HO-000167</t>
        </is>
      </c>
      <c r="B168" t="inlineStr">
        <is>
          <t>T06</t>
        </is>
      </c>
      <c r="C168" t="inlineStr">
        <is>
          <t>FireResistive</t>
        </is>
      </c>
      <c r="D168" t="n">
        <v>9</v>
      </c>
      <c r="E168" t="n">
        <v>1990</v>
      </c>
      <c r="F168" t="n">
        <v>14</v>
      </c>
      <c r="G168" t="n">
        <v>269000</v>
      </c>
      <c r="H168" t="n">
        <v>25000</v>
      </c>
      <c r="J168" t="inlineStr">
        <is>
          <t>y</t>
        </is>
      </c>
      <c r="K168" t="inlineStr">
        <is>
          <t>fortified</t>
        </is>
      </c>
      <c r="L168" t="n">
        <v>3</v>
      </c>
      <c r="M168" s="1" t="n">
        <v>46873</v>
      </c>
      <c r="N168" t="n">
        <v>12</v>
      </c>
    </row>
    <row r="169">
      <c r="A169" t="inlineStr">
        <is>
          <t>HO-000168</t>
        </is>
      </c>
      <c r="B169" t="inlineStr">
        <is>
          <t>T06</t>
        </is>
      </c>
      <c r="C169" t="inlineStr">
        <is>
          <t>MasonryVeneer</t>
        </is>
      </c>
      <c r="D169" t="n">
        <v>7</v>
      </c>
      <c r="E169" t="n">
        <v>1979</v>
      </c>
      <c r="G169" t="n">
        <v>271000</v>
      </c>
      <c r="H169" t="n">
        <v>25000</v>
      </c>
      <c r="I169" t="n">
        <v>0.03</v>
      </c>
      <c r="J169" t="inlineStr">
        <is>
          <t>N</t>
        </is>
      </c>
      <c r="L169" t="n">
        <v>3</v>
      </c>
      <c r="M169" s="1" t="n">
        <v>46347</v>
      </c>
      <c r="N169" t="n">
        <v>12</v>
      </c>
    </row>
    <row r="170">
      <c r="A170" t="inlineStr">
        <is>
          <t>HO-000169</t>
        </is>
      </c>
      <c r="B170" t="inlineStr">
        <is>
          <t>T01</t>
        </is>
      </c>
      <c r="C170" t="inlineStr">
        <is>
          <t>MasonryVeneer</t>
        </is>
      </c>
      <c r="D170" t="n">
        <v>4</v>
      </c>
      <c r="E170" t="n">
        <v>1933</v>
      </c>
      <c r="F170" t="n">
        <v>11</v>
      </c>
      <c r="G170" t="n">
        <v>273000</v>
      </c>
      <c r="H170" t="n">
        <v>1500</v>
      </c>
      <c r="I170" t="n">
        <v>0.1</v>
      </c>
      <c r="J170" t="inlineStr">
        <is>
          <t>Y</t>
        </is>
      </c>
      <c r="L170" t="n">
        <v>3</v>
      </c>
      <c r="M170" s="1" t="n">
        <v>46576</v>
      </c>
      <c r="N170" t="n">
        <v>12</v>
      </c>
    </row>
    <row r="171">
      <c r="A171" t="inlineStr">
        <is>
          <t>HO-000170</t>
        </is>
      </c>
      <c r="B171" t="inlineStr">
        <is>
          <t>T06</t>
        </is>
      </c>
      <c r="C171" t="inlineStr">
        <is>
          <t>FireResistive</t>
        </is>
      </c>
      <c r="D171" t="n">
        <v>5</v>
      </c>
      <c r="E171" t="n">
        <v>1930</v>
      </c>
      <c r="F171" t="n">
        <v>25</v>
      </c>
      <c r="G171" t="n">
        <v>275000</v>
      </c>
      <c r="H171" t="n">
        <v>1000</v>
      </c>
      <c r="I171" t="n">
        <v>0.03</v>
      </c>
      <c r="J171" t="inlineStr">
        <is>
          <t>Y</t>
        </is>
      </c>
      <c r="L171" t="n">
        <v>0</v>
      </c>
      <c r="M171" s="1" t="n">
        <v>46556</v>
      </c>
      <c r="N171" t="n">
        <v>12</v>
      </c>
    </row>
    <row r="172">
      <c r="A172" t="inlineStr">
        <is>
          <t>HO-000171</t>
        </is>
      </c>
      <c r="B172" t="inlineStr">
        <is>
          <t>T06</t>
        </is>
      </c>
      <c r="C172" t="inlineStr">
        <is>
          <t>Masonry</t>
        </is>
      </c>
      <c r="D172" t="n">
        <v>6</v>
      </c>
      <c r="E172" t="n">
        <v>1983</v>
      </c>
      <c r="F172" t="n">
        <v>9</v>
      </c>
      <c r="G172" t="n">
        <v>277000</v>
      </c>
      <c r="H172" t="n">
        <v>250</v>
      </c>
      <c r="I172" t="n">
        <v>0.1</v>
      </c>
      <c r="J172" t="inlineStr">
        <is>
          <t>y</t>
        </is>
      </c>
      <c r="K172" t="inlineStr">
        <is>
          <t>fortified</t>
        </is>
      </c>
      <c r="L172" t="n">
        <v>1</v>
      </c>
      <c r="M172" s="1" t="n">
        <v>46654</v>
      </c>
      <c r="N172" t="n">
        <v>12</v>
      </c>
    </row>
    <row r="173">
      <c r="A173" t="inlineStr">
        <is>
          <t>HO-000172</t>
        </is>
      </c>
      <c r="B173" t="inlineStr">
        <is>
          <t>T01</t>
        </is>
      </c>
      <c r="C173" t="inlineStr">
        <is>
          <t>Frame</t>
        </is>
      </c>
      <c r="D173" t="n">
        <v>1</v>
      </c>
      <c r="E173" t="n">
        <v>1939</v>
      </c>
      <c r="F173" t="n">
        <v>29</v>
      </c>
      <c r="G173" t="n">
        <v>279000</v>
      </c>
      <c r="H173" t="n">
        <v>7500</v>
      </c>
      <c r="I173" t="n">
        <v>0.02</v>
      </c>
      <c r="J173" t="inlineStr">
        <is>
          <t>Y</t>
        </is>
      </c>
      <c r="K173" t="inlineStr">
        <is>
          <t>Basic</t>
        </is>
      </c>
      <c r="L173" t="n">
        <v>0</v>
      </c>
      <c r="M173" s="1" t="n">
        <v>46384</v>
      </c>
      <c r="N173" t="n">
        <v>6</v>
      </c>
    </row>
    <row r="174">
      <c r="A174" t="inlineStr">
        <is>
          <t>HO-000173</t>
        </is>
      </c>
      <c r="B174" t="inlineStr">
        <is>
          <t>T03</t>
        </is>
      </c>
      <c r="C174" t="inlineStr">
        <is>
          <t>MasonryVeneer</t>
        </is>
      </c>
      <c r="D174" t="n">
        <v>6</v>
      </c>
      <c r="E174" t="n">
        <v>1942</v>
      </c>
      <c r="F174" t="n">
        <v>29</v>
      </c>
      <c r="G174" t="n">
        <v>1123363</v>
      </c>
      <c r="H174" t="n">
        <v>1000</v>
      </c>
      <c r="I174" t="n">
        <v>0.02</v>
      </c>
      <c r="J174" t="inlineStr">
        <is>
          <t>N</t>
        </is>
      </c>
      <c r="L174" t="n">
        <v>1</v>
      </c>
      <c r="M174" s="1" t="n">
        <v>46116</v>
      </c>
      <c r="N174" t="n">
        <v>12</v>
      </c>
    </row>
    <row r="175">
      <c r="A175" t="inlineStr">
        <is>
          <t>HO-000174</t>
        </is>
      </c>
      <c r="B175" t="inlineStr">
        <is>
          <t>T01</t>
        </is>
      </c>
      <c r="C175" t="inlineStr">
        <is>
          <t>MasonryVeneer</t>
        </is>
      </c>
      <c r="D175" t="n">
        <v>4</v>
      </c>
      <c r="E175" t="n">
        <v>1930</v>
      </c>
      <c r="F175" t="n">
        <v>17</v>
      </c>
      <c r="G175" t="n">
        <v>951000</v>
      </c>
      <c r="H175" t="n">
        <v>1500</v>
      </c>
      <c r="I175" t="n">
        <v>0.02</v>
      </c>
      <c r="K175" t="inlineStr">
        <is>
          <t>Basic</t>
        </is>
      </c>
      <c r="L175" t="n">
        <v>0</v>
      </c>
      <c r="M175" s="1" t="n">
        <v>46918</v>
      </c>
      <c r="N175" t="n">
        <v>12</v>
      </c>
    </row>
    <row r="176">
      <c r="A176" t="inlineStr">
        <is>
          <t>HO-000175</t>
        </is>
      </c>
      <c r="B176" t="inlineStr">
        <is>
          <t>T04</t>
        </is>
      </c>
      <c r="C176" t="inlineStr">
        <is>
          <t>Masonry</t>
        </is>
      </c>
      <c r="D176" t="n">
        <v>6</v>
      </c>
      <c r="E176" t="n">
        <v>1998</v>
      </c>
      <c r="F176" t="n">
        <v>1</v>
      </c>
      <c r="G176" t="n">
        <v>1148000</v>
      </c>
      <c r="H176" t="n">
        <v>25000</v>
      </c>
      <c r="I176" t="n">
        <v>0.05</v>
      </c>
      <c r="J176" t="inlineStr">
        <is>
          <t>Y</t>
        </is>
      </c>
      <c r="K176" t="inlineStr">
        <is>
          <t>Fortified</t>
        </is>
      </c>
      <c r="L176" t="n">
        <v>3</v>
      </c>
      <c r="M176" s="1" t="n">
        <v>46872</v>
      </c>
      <c r="N176" t="n">
        <v>12</v>
      </c>
    </row>
    <row r="177">
      <c r="A177" t="inlineStr">
        <is>
          <t>HO-000176</t>
        </is>
      </c>
      <c r="B177" t="inlineStr">
        <is>
          <t>T05</t>
        </is>
      </c>
      <c r="C177" t="inlineStr">
        <is>
          <t>Frame</t>
        </is>
      </c>
      <c r="D177" t="n">
        <v>6</v>
      </c>
      <c r="E177" t="n">
        <v>1993</v>
      </c>
      <c r="F177" t="n">
        <v>11</v>
      </c>
      <c r="G177" t="n">
        <v>455083</v>
      </c>
      <c r="H177" t="n">
        <v>1000</v>
      </c>
      <c r="I177" t="n">
        <v>0.02</v>
      </c>
      <c r="K177" t="inlineStr">
        <is>
          <t>Basic</t>
        </is>
      </c>
      <c r="M177" s="1" t="n">
        <v>46915</v>
      </c>
      <c r="N177" t="n">
        <v>12</v>
      </c>
    </row>
    <row r="178">
      <c r="A178" t="inlineStr">
        <is>
          <t>HO-000177</t>
        </is>
      </c>
      <c r="B178" t="inlineStr">
        <is>
          <t>T03</t>
        </is>
      </c>
      <c r="C178" t="inlineStr">
        <is>
          <t>FireResistive</t>
        </is>
      </c>
      <c r="D178" t="n">
        <v>6</v>
      </c>
      <c r="E178" t="n">
        <v>1933</v>
      </c>
      <c r="F178" t="n">
        <v>1</v>
      </c>
      <c r="G178" t="n">
        <v>1528809</v>
      </c>
      <c r="H178" t="n">
        <v>1000</v>
      </c>
      <c r="I178" t="n">
        <v>0.1</v>
      </c>
      <c r="J178" t="inlineStr">
        <is>
          <t>Y</t>
        </is>
      </c>
      <c r="K178" t="inlineStr">
        <is>
          <t>Fortified</t>
        </is>
      </c>
      <c r="L178" t="n">
        <v>4</v>
      </c>
      <c r="M178" s="1" t="n">
        <v>46673</v>
      </c>
      <c r="N178" t="n">
        <v>12</v>
      </c>
    </row>
    <row r="179">
      <c r="A179" t="inlineStr">
        <is>
          <t>HO-000178</t>
        </is>
      </c>
      <c r="B179" t="inlineStr">
        <is>
          <t>T01</t>
        </is>
      </c>
      <c r="C179" t="inlineStr">
        <is>
          <t>Masonry</t>
        </is>
      </c>
      <c r="D179" t="n">
        <v>8</v>
      </c>
      <c r="E179" t="n">
        <v>1934</v>
      </c>
      <c r="F179" t="n">
        <v>0</v>
      </c>
      <c r="G179" t="n">
        <v>1558000</v>
      </c>
      <c r="H179" t="n">
        <v>1500</v>
      </c>
      <c r="I179" t="n">
        <v>0.1</v>
      </c>
      <c r="K179" t="inlineStr">
        <is>
          <t>fortified</t>
        </is>
      </c>
      <c r="L179" t="n">
        <v>1</v>
      </c>
      <c r="M179" s="1" t="n">
        <v>46390</v>
      </c>
      <c r="N179" t="n">
        <v>6</v>
      </c>
    </row>
    <row r="180">
      <c r="A180" t="inlineStr">
        <is>
          <t>HO-000179</t>
        </is>
      </c>
      <c r="B180" t="inlineStr">
        <is>
          <t>T06</t>
        </is>
      </c>
      <c r="C180" t="inlineStr">
        <is>
          <t>MasonryVeneer</t>
        </is>
      </c>
      <c r="D180" t="n">
        <v>2</v>
      </c>
      <c r="E180" t="n">
        <v>2005</v>
      </c>
      <c r="F180" t="n">
        <v>15</v>
      </c>
      <c r="G180" t="n">
        <v>555000</v>
      </c>
      <c r="H180" t="n">
        <v>25000</v>
      </c>
      <c r="J180" t="inlineStr">
        <is>
          <t>y</t>
        </is>
      </c>
      <c r="K180" t="inlineStr">
        <is>
          <t>None</t>
        </is>
      </c>
      <c r="L180" t="n">
        <v>1</v>
      </c>
      <c r="M180" s="1" t="n">
        <v>46043</v>
      </c>
      <c r="N180" t="n">
        <v>6</v>
      </c>
    </row>
    <row r="181">
      <c r="A181" t="inlineStr">
        <is>
          <t>HO-000180</t>
        </is>
      </c>
      <c r="B181" t="inlineStr">
        <is>
          <t>T06</t>
        </is>
      </c>
      <c r="C181" t="inlineStr">
        <is>
          <t>MasonryVeneer</t>
        </is>
      </c>
      <c r="D181" t="n">
        <v>8</v>
      </c>
      <c r="E181" t="n">
        <v>2023</v>
      </c>
      <c r="F181" t="n">
        <v>4</v>
      </c>
      <c r="G181" t="n">
        <v>1537000</v>
      </c>
      <c r="H181" t="n">
        <v>2500</v>
      </c>
      <c r="I181" t="n">
        <v>0.03</v>
      </c>
      <c r="J181" t="inlineStr">
        <is>
          <t>Y</t>
        </is>
      </c>
      <c r="K181" t="inlineStr">
        <is>
          <t>fortified</t>
        </is>
      </c>
      <c r="L181" t="n">
        <v>0</v>
      </c>
      <c r="M181" s="1" t="n">
        <v>46357</v>
      </c>
      <c r="N181" t="n">
        <v>12</v>
      </c>
    </row>
    <row r="182">
      <c r="A182" t="inlineStr">
        <is>
          <t>HO-000181</t>
        </is>
      </c>
      <c r="B182" t="inlineStr">
        <is>
          <t>T03</t>
        </is>
      </c>
      <c r="C182" t="inlineStr">
        <is>
          <t>Masonry</t>
        </is>
      </c>
      <c r="D182" t="n">
        <v>7</v>
      </c>
      <c r="E182" t="n">
        <v>2016</v>
      </c>
      <c r="F182" t="n">
        <v>9</v>
      </c>
      <c r="G182" t="n">
        <v>624000</v>
      </c>
      <c r="H182" t="n">
        <v>1500</v>
      </c>
      <c r="I182" t="n">
        <v>0.03</v>
      </c>
      <c r="J182" t="inlineStr">
        <is>
          <t>Y</t>
        </is>
      </c>
      <c r="K182" t="inlineStr">
        <is>
          <t>Basic</t>
        </is>
      </c>
      <c r="L182" t="n">
        <v>0</v>
      </c>
      <c r="M182" s="1" t="n">
        <v>46796</v>
      </c>
      <c r="N182" t="n">
        <v>12</v>
      </c>
    </row>
    <row r="183">
      <c r="A183" t="inlineStr">
        <is>
          <t>HO-000182</t>
        </is>
      </c>
      <c r="B183" t="inlineStr">
        <is>
          <t>T05</t>
        </is>
      </c>
      <c r="C183" t="inlineStr">
        <is>
          <t>Masonry</t>
        </is>
      </c>
      <c r="D183" t="n">
        <v>1</v>
      </c>
      <c r="E183" t="n">
        <v>2026</v>
      </c>
      <c r="F183" t="n">
        <v>9</v>
      </c>
      <c r="G183" t="n">
        <v>106249</v>
      </c>
      <c r="H183" t="n">
        <v>1000</v>
      </c>
      <c r="I183" t="n">
        <v>0.03</v>
      </c>
      <c r="J183" t="inlineStr">
        <is>
          <t>N</t>
        </is>
      </c>
      <c r="K183" t="inlineStr">
        <is>
          <t>Basic</t>
        </is>
      </c>
      <c r="L183" t="n">
        <v>3</v>
      </c>
      <c r="M183" s="1" t="n">
        <v>46537</v>
      </c>
      <c r="N183" t="n">
        <v>12</v>
      </c>
    </row>
    <row r="184">
      <c r="A184" t="inlineStr">
        <is>
          <t>HO-000183</t>
        </is>
      </c>
      <c r="B184" t="inlineStr">
        <is>
          <t>T04</t>
        </is>
      </c>
      <c r="C184" t="inlineStr">
        <is>
          <t>MasonryVeneer</t>
        </is>
      </c>
      <c r="D184" t="n">
        <v>5</v>
      </c>
      <c r="E184" t="n">
        <v>1996</v>
      </c>
      <c r="F184" t="n">
        <v>25</v>
      </c>
      <c r="G184" t="n">
        <v>652567</v>
      </c>
      <c r="H184" t="n">
        <v>250</v>
      </c>
      <c r="I184" t="n">
        <v>0.05</v>
      </c>
      <c r="K184" t="inlineStr">
        <is>
          <t>Fortified</t>
        </is>
      </c>
      <c r="L184" t="n">
        <v>0</v>
      </c>
      <c r="M184" s="1" t="n">
        <v>46355</v>
      </c>
      <c r="N184" t="n">
        <v>12</v>
      </c>
    </row>
    <row r="185">
      <c r="A185" t="inlineStr">
        <is>
          <t>HO-000184</t>
        </is>
      </c>
      <c r="B185" t="inlineStr">
        <is>
          <t>T06</t>
        </is>
      </c>
      <c r="C185" t="inlineStr">
        <is>
          <t>Masonry</t>
        </is>
      </c>
      <c r="D185" t="n">
        <v>10</v>
      </c>
      <c r="E185" t="n">
        <v>1946</v>
      </c>
      <c r="F185" t="n">
        <v>18</v>
      </c>
      <c r="G185" t="n">
        <v>281926</v>
      </c>
      <c r="H185" t="n">
        <v>500</v>
      </c>
      <c r="I185" t="n">
        <v>0.02</v>
      </c>
      <c r="J185" t="inlineStr">
        <is>
          <t>y</t>
        </is>
      </c>
      <c r="K185" t="inlineStr">
        <is>
          <t>None</t>
        </is>
      </c>
      <c r="L185" t="n">
        <v>0</v>
      </c>
      <c r="M185" s="1" t="n">
        <v>46847</v>
      </c>
      <c r="N185" t="n">
        <v>6</v>
      </c>
    </row>
    <row r="186">
      <c r="A186" t="inlineStr">
        <is>
          <t>HO-000185</t>
        </is>
      </c>
      <c r="B186" t="inlineStr">
        <is>
          <t>T01</t>
        </is>
      </c>
      <c r="C186" t="inlineStr">
        <is>
          <t>Masonry</t>
        </is>
      </c>
      <c r="D186" t="n">
        <v>8</v>
      </c>
      <c r="E186" t="n">
        <v>1971</v>
      </c>
      <c r="F186" t="n">
        <v>3</v>
      </c>
      <c r="G186" t="n">
        <v>946000</v>
      </c>
      <c r="H186" t="n">
        <v>5000</v>
      </c>
      <c r="I186" t="n">
        <v>0.1</v>
      </c>
      <c r="J186" t="inlineStr">
        <is>
          <t>Y</t>
        </is>
      </c>
      <c r="M186" s="1" t="n">
        <v>46239</v>
      </c>
      <c r="N186" t="n">
        <v>12</v>
      </c>
    </row>
    <row r="187">
      <c r="A187" t="inlineStr">
        <is>
          <t>HO-000186</t>
        </is>
      </c>
      <c r="B187" t="inlineStr">
        <is>
          <t>T02</t>
        </is>
      </c>
      <c r="C187" t="inlineStr">
        <is>
          <t>Masonry</t>
        </is>
      </c>
      <c r="D187" t="n">
        <v>8</v>
      </c>
      <c r="E187" t="n">
        <v>1976</v>
      </c>
      <c r="F187" t="n">
        <v>2</v>
      </c>
      <c r="G187" t="n">
        <v>397000</v>
      </c>
      <c r="H187" t="n">
        <v>7500</v>
      </c>
      <c r="I187" t="n">
        <v>0.03</v>
      </c>
      <c r="J187" t="inlineStr">
        <is>
          <t>N</t>
        </is>
      </c>
      <c r="K187" t="inlineStr">
        <is>
          <t>Fortified</t>
        </is>
      </c>
      <c r="L187" t="n">
        <v>3</v>
      </c>
      <c r="M187" s="1" t="n">
        <v>46774</v>
      </c>
      <c r="N187" t="n">
        <v>12</v>
      </c>
    </row>
    <row r="188">
      <c r="A188" t="inlineStr">
        <is>
          <t>HO-000187</t>
        </is>
      </c>
      <c r="B188" t="inlineStr">
        <is>
          <t>T04</t>
        </is>
      </c>
      <c r="C188" t="inlineStr">
        <is>
          <t>FireResistive</t>
        </is>
      </c>
      <c r="D188" t="n">
        <v>1</v>
      </c>
      <c r="E188" t="n">
        <v>2018</v>
      </c>
      <c r="F188" t="n">
        <v>22</v>
      </c>
      <c r="G188" t="n">
        <v>1064000</v>
      </c>
      <c r="H188" t="n">
        <v>1500</v>
      </c>
      <c r="J188" t="inlineStr">
        <is>
          <t>Y</t>
        </is>
      </c>
      <c r="K188" t="inlineStr">
        <is>
          <t>None</t>
        </is>
      </c>
      <c r="L188" t="n">
        <v>4</v>
      </c>
      <c r="M188" s="1" t="n">
        <v>46730</v>
      </c>
      <c r="N188" t="n">
        <v>6</v>
      </c>
    </row>
    <row r="189">
      <c r="A189" t="inlineStr">
        <is>
          <t>HO-000188</t>
        </is>
      </c>
      <c r="B189" t="inlineStr">
        <is>
          <t>T08</t>
        </is>
      </c>
      <c r="C189" t="inlineStr">
        <is>
          <t>FireResistive</t>
        </is>
      </c>
      <c r="D189" t="n">
        <v>4</v>
      </c>
      <c r="E189" t="n">
        <v>1941</v>
      </c>
      <c r="F189" t="n">
        <v>12</v>
      </c>
      <c r="G189" t="n">
        <v>682462</v>
      </c>
      <c r="H189" t="n">
        <v>1000</v>
      </c>
      <c r="I189" t="n">
        <v>0.1</v>
      </c>
      <c r="K189" t="inlineStr">
        <is>
          <t>Basic</t>
        </is>
      </c>
      <c r="L189" t="n">
        <v>2</v>
      </c>
      <c r="M189" s="1" t="n">
        <v>46183</v>
      </c>
      <c r="N189" t="n">
        <v>12</v>
      </c>
    </row>
    <row r="190">
      <c r="A190" t="inlineStr">
        <is>
          <t>HO-000189</t>
        </is>
      </c>
      <c r="B190" t="inlineStr">
        <is>
          <t>T04</t>
        </is>
      </c>
      <c r="C190" t="inlineStr">
        <is>
          <t>Frame</t>
        </is>
      </c>
      <c r="D190" t="n">
        <v>1</v>
      </c>
      <c r="E190" t="n">
        <v>1962</v>
      </c>
      <c r="F190" t="n">
        <v>21</v>
      </c>
      <c r="G190" t="n">
        <v>315017</v>
      </c>
      <c r="H190" t="n">
        <v>1000</v>
      </c>
      <c r="I190" t="n">
        <v>0.1</v>
      </c>
      <c r="J190" t="inlineStr">
        <is>
          <t>Y</t>
        </is>
      </c>
      <c r="K190" t="inlineStr">
        <is>
          <t>Fortified</t>
        </is>
      </c>
      <c r="L190" t="n">
        <v>0</v>
      </c>
      <c r="M190" s="1" t="n">
        <v>46296</v>
      </c>
      <c r="N190" t="n">
        <v>12</v>
      </c>
    </row>
    <row r="191">
      <c r="A191" t="inlineStr">
        <is>
          <t>HO-000190</t>
        </is>
      </c>
      <c r="B191" t="inlineStr">
        <is>
          <t>T02</t>
        </is>
      </c>
      <c r="C191" t="inlineStr">
        <is>
          <t>MasonryVeneer</t>
        </is>
      </c>
      <c r="D191" t="n">
        <v>3</v>
      </c>
      <c r="E191" t="n">
        <v>1934</v>
      </c>
      <c r="F191" t="n">
        <v>11</v>
      </c>
      <c r="G191" t="n">
        <v>809814</v>
      </c>
      <c r="H191" t="n">
        <v>10000</v>
      </c>
      <c r="I191" t="n">
        <v>0.1</v>
      </c>
      <c r="K191" t="inlineStr">
        <is>
          <t>Basic</t>
        </is>
      </c>
      <c r="L191" t="n">
        <v>2</v>
      </c>
      <c r="M191" s="1" t="n">
        <v>46366</v>
      </c>
      <c r="N191" t="n">
        <v>12</v>
      </c>
    </row>
    <row r="192">
      <c r="A192" t="inlineStr">
        <is>
          <t>HO-000191</t>
        </is>
      </c>
      <c r="B192" t="inlineStr">
        <is>
          <t>T02</t>
        </is>
      </c>
      <c r="C192" t="inlineStr">
        <is>
          <t>MasonryVeneer</t>
        </is>
      </c>
      <c r="D192" t="n">
        <v>9</v>
      </c>
      <c r="E192" t="n">
        <v>2024</v>
      </c>
      <c r="F192" t="n">
        <v>17</v>
      </c>
      <c r="G192" t="n">
        <v>498000</v>
      </c>
      <c r="H192" t="n">
        <v>1000</v>
      </c>
      <c r="I192" t="n">
        <v>0.03</v>
      </c>
      <c r="J192" t="inlineStr">
        <is>
          <t>Y</t>
        </is>
      </c>
      <c r="K192" t="inlineStr">
        <is>
          <t>None</t>
        </is>
      </c>
      <c r="L192" t="n">
        <v>3</v>
      </c>
      <c r="M192" s="1" t="n">
        <v>46395</v>
      </c>
      <c r="N192" t="n">
        <v>6</v>
      </c>
    </row>
    <row r="193">
      <c r="A193" t="inlineStr">
        <is>
          <t>HO-000192</t>
        </is>
      </c>
      <c r="B193" t="inlineStr">
        <is>
          <t>T02</t>
        </is>
      </c>
      <c r="C193" t="inlineStr">
        <is>
          <t>Masonry</t>
        </is>
      </c>
      <c r="D193" t="n">
        <v>2</v>
      </c>
      <c r="E193" t="n">
        <v>1982</v>
      </c>
      <c r="F193" t="n">
        <v>9</v>
      </c>
      <c r="G193" t="n">
        <v>160031</v>
      </c>
      <c r="H193" t="n">
        <v>500</v>
      </c>
      <c r="J193" t="inlineStr">
        <is>
          <t>y</t>
        </is>
      </c>
      <c r="K193" t="inlineStr">
        <is>
          <t>fortified</t>
        </is>
      </c>
      <c r="L193" t="n">
        <v>2</v>
      </c>
      <c r="M193" s="1" t="n">
        <v>46061</v>
      </c>
      <c r="N193" t="n">
        <v>6</v>
      </c>
    </row>
    <row r="194">
      <c r="A194" t="inlineStr">
        <is>
          <t>HO-000193</t>
        </is>
      </c>
      <c r="B194" t="inlineStr">
        <is>
          <t>T05</t>
        </is>
      </c>
      <c r="C194" t="inlineStr">
        <is>
          <t>MasonryVeneer</t>
        </is>
      </c>
      <c r="D194" t="n">
        <v>8</v>
      </c>
      <c r="E194" t="n">
        <v>2001</v>
      </c>
      <c r="F194" t="n">
        <v>13</v>
      </c>
      <c r="G194" t="n">
        <v>604636</v>
      </c>
      <c r="H194" t="n">
        <v>10000</v>
      </c>
      <c r="I194" t="n">
        <v>0.03</v>
      </c>
      <c r="J194" t="inlineStr">
        <is>
          <t>Y</t>
        </is>
      </c>
      <c r="K194" t="inlineStr">
        <is>
          <t>None</t>
        </is>
      </c>
      <c r="L194" t="n">
        <v>3</v>
      </c>
      <c r="M194" s="1" t="n">
        <v>46417</v>
      </c>
      <c r="N194" t="n">
        <v>6</v>
      </c>
    </row>
    <row r="195">
      <c r="A195" t="inlineStr">
        <is>
          <t>HO-000194</t>
        </is>
      </c>
      <c r="B195" t="inlineStr">
        <is>
          <t>T07</t>
        </is>
      </c>
      <c r="C195" t="inlineStr">
        <is>
          <t>Frame</t>
        </is>
      </c>
      <c r="D195" t="n">
        <v>4</v>
      </c>
      <c r="E195" t="n">
        <v>1962</v>
      </c>
      <c r="F195" t="n">
        <v>27</v>
      </c>
      <c r="G195" t="n">
        <v>500936</v>
      </c>
      <c r="H195" t="n">
        <v>5000</v>
      </c>
      <c r="I195" t="n">
        <v>0.03</v>
      </c>
      <c r="J195" t="inlineStr">
        <is>
          <t>y</t>
        </is>
      </c>
      <c r="M195" s="1" t="n">
        <v>46747</v>
      </c>
      <c r="N195" t="n">
        <v>12</v>
      </c>
    </row>
    <row r="196">
      <c r="A196" t="inlineStr">
        <is>
          <t>HO-000195</t>
        </is>
      </c>
      <c r="B196" t="inlineStr">
        <is>
          <t>T04</t>
        </is>
      </c>
      <c r="C196" t="inlineStr">
        <is>
          <t>FireResistive</t>
        </is>
      </c>
      <c r="D196" t="n">
        <v>6</v>
      </c>
      <c r="E196" t="n">
        <v>1959</v>
      </c>
      <c r="F196" t="n">
        <v>22</v>
      </c>
      <c r="G196" t="n">
        <v>1040000</v>
      </c>
      <c r="H196" t="n">
        <v>5000</v>
      </c>
      <c r="I196" t="n">
        <v>0.05</v>
      </c>
      <c r="J196" t="inlineStr">
        <is>
          <t>y</t>
        </is>
      </c>
      <c r="L196" t="n">
        <v>0</v>
      </c>
      <c r="M196" s="1" t="n">
        <v>46469</v>
      </c>
      <c r="N196" t="n">
        <v>12</v>
      </c>
    </row>
    <row r="197">
      <c r="A197" t="inlineStr">
        <is>
          <t>HO-000196</t>
        </is>
      </c>
      <c r="B197" t="inlineStr">
        <is>
          <t>T04</t>
        </is>
      </c>
      <c r="C197" t="inlineStr">
        <is>
          <t>FireResistive</t>
        </is>
      </c>
      <c r="D197" t="n">
        <v>5</v>
      </c>
      <c r="E197" t="n">
        <v>2022</v>
      </c>
      <c r="F197" t="n">
        <v>20</v>
      </c>
      <c r="G197" t="n">
        <v>985123</v>
      </c>
      <c r="H197" t="n">
        <v>25000</v>
      </c>
      <c r="I197" t="n">
        <v>0.02</v>
      </c>
      <c r="J197" t="inlineStr">
        <is>
          <t>Y</t>
        </is>
      </c>
      <c r="K197" t="inlineStr">
        <is>
          <t>Fortified</t>
        </is>
      </c>
      <c r="L197" t="n">
        <v>1</v>
      </c>
      <c r="M197" s="1" t="n">
        <v>46671</v>
      </c>
      <c r="N197" t="n">
        <v>6</v>
      </c>
    </row>
    <row r="198">
      <c r="A198" t="inlineStr">
        <is>
          <t>HO-000197</t>
        </is>
      </c>
      <c r="B198" t="inlineStr">
        <is>
          <t>T02</t>
        </is>
      </c>
      <c r="C198" t="inlineStr">
        <is>
          <t>Frame</t>
        </is>
      </c>
      <c r="D198" t="n">
        <v>9</v>
      </c>
      <c r="E198" t="n">
        <v>1955</v>
      </c>
      <c r="F198" t="n">
        <v>5</v>
      </c>
      <c r="G198" t="n">
        <v>301000</v>
      </c>
      <c r="H198" t="n">
        <v>500</v>
      </c>
      <c r="I198" t="n">
        <v>0.05</v>
      </c>
      <c r="K198" t="inlineStr">
        <is>
          <t>None</t>
        </is>
      </c>
      <c r="L198" t="n">
        <v>1</v>
      </c>
      <c r="M198" s="1" t="n">
        <v>46120</v>
      </c>
      <c r="N198" t="n">
        <v>12</v>
      </c>
    </row>
    <row r="199">
      <c r="A199" t="inlineStr">
        <is>
          <t>HO-000198</t>
        </is>
      </c>
      <c r="B199" t="inlineStr">
        <is>
          <t>T04</t>
        </is>
      </c>
      <c r="C199" t="inlineStr">
        <is>
          <t>Masonry</t>
        </is>
      </c>
      <c r="D199" t="n">
        <v>2</v>
      </c>
      <c r="E199" t="n">
        <v>1978</v>
      </c>
      <c r="F199" t="n">
        <v>20</v>
      </c>
      <c r="G199" t="n">
        <v>1132000</v>
      </c>
      <c r="H199" t="n">
        <v>250</v>
      </c>
      <c r="I199" t="n">
        <v>0.03</v>
      </c>
      <c r="K199" t="inlineStr">
        <is>
          <t>Fortified</t>
        </is>
      </c>
      <c r="L199" t="n">
        <v>0</v>
      </c>
      <c r="M199" s="1" t="n">
        <v>46404</v>
      </c>
      <c r="N199" t="n">
        <v>12</v>
      </c>
    </row>
    <row r="200">
      <c r="A200" t="inlineStr">
        <is>
          <t>HO-000199</t>
        </is>
      </c>
      <c r="B200" t="inlineStr">
        <is>
          <t>T04</t>
        </is>
      </c>
      <c r="C200" t="inlineStr">
        <is>
          <t>FireResistive</t>
        </is>
      </c>
      <c r="D200" t="n">
        <v>8</v>
      </c>
      <c r="E200" t="n">
        <v>1969</v>
      </c>
      <c r="F200" t="n">
        <v>1</v>
      </c>
      <c r="G200" t="n">
        <v>483000</v>
      </c>
      <c r="H200" t="n">
        <v>5000</v>
      </c>
      <c r="I200" t="n">
        <v>0.05</v>
      </c>
      <c r="L200" t="n">
        <v>1</v>
      </c>
      <c r="M200" s="1" t="n">
        <v>46488</v>
      </c>
      <c r="N200" t="n">
        <v>12</v>
      </c>
    </row>
    <row r="201">
      <c r="A201" t="inlineStr">
        <is>
          <t>HO-000200</t>
        </is>
      </c>
      <c r="B201" t="inlineStr">
        <is>
          <t>T05</t>
        </is>
      </c>
      <c r="C201" t="inlineStr">
        <is>
          <t>FireResistive</t>
        </is>
      </c>
      <c r="D201" t="n">
        <v>3</v>
      </c>
      <c r="E201" t="n">
        <v>2018</v>
      </c>
      <c r="F201" t="n">
        <v>12</v>
      </c>
      <c r="G201" t="n">
        <v>182000</v>
      </c>
      <c r="H201" t="n">
        <v>1000</v>
      </c>
      <c r="J201" t="inlineStr">
        <is>
          <t>N</t>
        </is>
      </c>
      <c r="L201" t="n">
        <v>2</v>
      </c>
      <c r="M201" s="1" t="n">
        <v>46473</v>
      </c>
      <c r="N201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 | Example Mutual Insurance Co. (FICTIONAL) HO-3 rate tables</t>
        </is>
      </c>
    </row>
    <row r="2">
      <c r="A2" t="inlineStr">
        <is>
          <t>Zone</t>
        </is>
      </c>
      <c r="B2" t="inlineStr">
        <is>
          <t>AOP rate/1000</t>
        </is>
      </c>
      <c r="C2" t="inlineStr">
        <is>
          <t>Hurr rate/1000</t>
        </is>
      </c>
      <c r="D2" t="inlineStr">
        <is>
          <t>Tax rate</t>
        </is>
      </c>
    </row>
    <row r="3">
      <c r="A3" t="inlineStr">
        <is>
          <t>T01</t>
        </is>
      </c>
      <c r="B3" t="n">
        <v>3.125</v>
      </c>
      <c r="C3" t="n">
        <v>0.45</v>
      </c>
      <c r="D3" t="n">
        <v>0.0175</v>
      </c>
    </row>
    <row r="4">
      <c r="A4" t="inlineStr">
        <is>
          <t>T02</t>
        </is>
      </c>
      <c r="B4" t="n">
        <v>3.375</v>
      </c>
      <c r="C4" t="n">
        <v>0.875</v>
      </c>
      <c r="D4" t="n">
        <v>0.0175</v>
      </c>
    </row>
    <row r="5">
      <c r="A5" t="inlineStr">
        <is>
          <t>T03</t>
        </is>
      </c>
      <c r="B5" t="n">
        <v>3.64</v>
      </c>
      <c r="C5" t="n">
        <v>1.25</v>
      </c>
      <c r="D5" t="n">
        <v>0.02</v>
      </c>
    </row>
    <row r="6">
      <c r="A6" t="inlineStr">
        <is>
          <t>T04</t>
        </is>
      </c>
      <c r="B6" t="n">
        <v>2.98</v>
      </c>
      <c r="C6" t="n">
        <v>2.125</v>
      </c>
      <c r="D6" t="n">
        <v>0.02</v>
      </c>
    </row>
    <row r="7">
      <c r="A7" t="inlineStr">
        <is>
          <t>T05</t>
        </is>
      </c>
      <c r="B7" t="n">
        <v>4.115</v>
      </c>
      <c r="C7" t="n">
        <v>3.375</v>
      </c>
      <c r="D7" t="n">
        <v>0.0225</v>
      </c>
    </row>
    <row r="8">
      <c r="A8" t="inlineStr">
        <is>
          <t>T06</t>
        </is>
      </c>
      <c r="B8" t="n">
        <v>3.505</v>
      </c>
      <c r="C8" t="n">
        <v>4.625</v>
      </c>
      <c r="D8" t="n">
        <v>0.0225</v>
      </c>
    </row>
    <row r="9">
      <c r="A9" t="inlineStr">
        <is>
          <t>T07</t>
        </is>
      </c>
      <c r="B9" t="n">
        <v>4.25</v>
      </c>
      <c r="C9" t="n">
        <v>5.875</v>
      </c>
      <c r="D9" t="n">
        <v>0.025</v>
      </c>
    </row>
    <row r="10">
      <c r="A10" t="inlineStr">
        <is>
          <t>T08</t>
        </is>
      </c>
      <c r="B10" t="n">
        <v>2.875</v>
      </c>
      <c r="C10" t="n">
        <v>6.5</v>
      </c>
      <c r="D10" t="n">
        <v>0.025</v>
      </c>
    </row>
    <row r="11">
      <c r="E11" t="inlineStr">
        <is>
          <t>Home age &gt;=</t>
        </is>
      </c>
      <c r="H11" t="inlineStr">
        <is>
          <t>Roof age &gt;=</t>
        </is>
      </c>
      <c r="K11" t="inlineStr">
        <is>
          <t>Coverage A &gt;=</t>
        </is>
      </c>
    </row>
    <row r="12">
      <c r="A12" t="inlineStr">
        <is>
          <t>Construction</t>
        </is>
      </c>
      <c r="B12" t="inlineStr">
        <is>
          <t>AOP factor</t>
        </is>
      </c>
      <c r="C12" t="inlineStr">
        <is>
          <t>Hurr factor</t>
        </is>
      </c>
      <c r="E12" t="n">
        <v>0</v>
      </c>
      <c r="F12" t="n">
        <v>0.9</v>
      </c>
      <c r="H12" t="n">
        <v>0</v>
      </c>
      <c r="I12" t="n">
        <v>0.95</v>
      </c>
      <c r="K12" t="n">
        <v>0</v>
      </c>
      <c r="L12" t="n">
        <v>0.8</v>
      </c>
    </row>
    <row r="13">
      <c r="A13" t="inlineStr">
        <is>
          <t>Frame</t>
        </is>
      </c>
      <c r="B13" t="n">
        <v>1</v>
      </c>
      <c r="C13" t="n">
        <v>1</v>
      </c>
      <c r="E13" t="n">
        <v>5</v>
      </c>
      <c r="F13" t="n">
        <v>0.95</v>
      </c>
      <c r="H13" t="n">
        <v>6</v>
      </c>
      <c r="I13" t="n">
        <v>1</v>
      </c>
      <c r="K13" t="n">
        <v>150000</v>
      </c>
      <c r="L13" t="n">
        <v>0.9</v>
      </c>
    </row>
    <row r="14">
      <c r="A14" t="inlineStr">
        <is>
          <t>Masonry</t>
        </is>
      </c>
      <c r="B14" t="n">
        <v>0.88</v>
      </c>
      <c r="C14" t="n">
        <v>0.8</v>
      </c>
      <c r="E14" t="n">
        <v>10</v>
      </c>
      <c r="F14" t="n">
        <v>1</v>
      </c>
      <c r="H14" t="n">
        <v>11</v>
      </c>
      <c r="I14" t="n">
        <v>1.1</v>
      </c>
      <c r="K14" t="n">
        <v>250000</v>
      </c>
      <c r="L14" t="n">
        <v>1</v>
      </c>
    </row>
    <row r="15">
      <c r="A15" t="inlineStr">
        <is>
          <t>MasonryVeneer</t>
        </is>
      </c>
      <c r="B15" t="n">
        <v>0.9399999999999999</v>
      </c>
      <c r="C15" t="n">
        <v>0.9</v>
      </c>
      <c r="E15" t="n">
        <v>20</v>
      </c>
      <c r="F15" t="n">
        <v>1.08</v>
      </c>
      <c r="H15" t="n">
        <v>16</v>
      </c>
      <c r="I15" t="n">
        <v>1.25</v>
      </c>
      <c r="K15" t="n">
        <v>400000</v>
      </c>
      <c r="L15" t="n">
        <v>1.12</v>
      </c>
    </row>
    <row r="16">
      <c r="A16" t="inlineStr">
        <is>
          <t>FireResistive</t>
        </is>
      </c>
      <c r="B16" t="n">
        <v>0.8</v>
      </c>
      <c r="C16" t="n">
        <v>0.7</v>
      </c>
      <c r="E16" t="n">
        <v>30</v>
      </c>
      <c r="F16" t="n">
        <v>1.15</v>
      </c>
      <c r="H16" t="n">
        <v>21</v>
      </c>
      <c r="I16" t="n">
        <v>1.45</v>
      </c>
      <c r="K16" t="n">
        <v>600000</v>
      </c>
      <c r="L16" t="n">
        <v>1.25</v>
      </c>
    </row>
    <row r="17">
      <c r="E17" t="n">
        <v>50</v>
      </c>
      <c r="F17" t="n">
        <v>1.25</v>
      </c>
      <c r="K17" t="n">
        <v>1000000</v>
      </c>
      <c r="L17" t="n">
        <v>1.4</v>
      </c>
    </row>
    <row r="18">
      <c r="A18" t="inlineStr">
        <is>
          <t>PC</t>
        </is>
      </c>
      <c r="B18" t="inlineStr">
        <is>
          <t>Frame</t>
        </is>
      </c>
      <c r="C18" t="inlineStr">
        <is>
          <t>NonFrame</t>
        </is>
      </c>
      <c r="E18" t="n">
        <v>75</v>
      </c>
      <c r="F18" t="n">
        <v>1.35</v>
      </c>
      <c r="K18" t="n">
        <v>2000000</v>
      </c>
      <c r="L18" t="n">
        <v>1.55</v>
      </c>
    </row>
    <row r="19">
      <c r="A19" t="n">
        <v>1</v>
      </c>
      <c r="B19" t="n">
        <v>0.85</v>
      </c>
      <c r="C19" t="n">
        <v>0.82</v>
      </c>
    </row>
    <row r="20">
      <c r="A20" t="n">
        <v>2</v>
      </c>
      <c r="B20" t="n">
        <v>0.87</v>
      </c>
      <c r="C20" t="n">
        <v>0.84</v>
      </c>
    </row>
    <row r="21">
      <c r="A21" t="n">
        <v>3</v>
      </c>
      <c r="B21" t="n">
        <v>0.9</v>
      </c>
      <c r="C21" t="n">
        <v>0.86</v>
      </c>
    </row>
    <row r="22">
      <c r="A22" t="n">
        <v>4</v>
      </c>
      <c r="B22" t="n">
        <v>0.93</v>
      </c>
      <c r="C22" t="n">
        <v>0.89</v>
      </c>
    </row>
    <row r="23">
      <c r="A23" t="n">
        <v>5</v>
      </c>
      <c r="B23" t="n">
        <v>0.97</v>
      </c>
      <c r="C23" t="n">
        <v>0.93</v>
      </c>
    </row>
    <row r="24">
      <c r="A24" t="n">
        <v>6</v>
      </c>
      <c r="B24" t="n">
        <v>1</v>
      </c>
      <c r="C24" t="n">
        <v>0.96</v>
      </c>
    </row>
    <row r="25">
      <c r="A25" t="n">
        <v>7</v>
      </c>
      <c r="B25" t="n">
        <v>1.06</v>
      </c>
      <c r="C25" t="n">
        <v>1.01</v>
      </c>
    </row>
    <row r="26">
      <c r="A26" t="n">
        <v>8</v>
      </c>
      <c r="B26" t="n">
        <v>1.15</v>
      </c>
      <c r="C26" t="n">
        <v>1.09</v>
      </c>
    </row>
    <row r="27">
      <c r="A27" t="n">
        <v>9</v>
      </c>
      <c r="B27" t="n">
        <v>1.4</v>
      </c>
      <c r="C27" t="n">
        <v>1.3</v>
      </c>
    </row>
    <row r="28">
      <c r="A28" t="n">
        <v>10</v>
      </c>
      <c r="B28" t="n">
        <v>1.75</v>
      </c>
      <c r="C28" t="n">
        <v>1.6</v>
      </c>
    </row>
    <row r="30">
      <c r="A30" t="inlineStr">
        <is>
          <t>Deductible &gt;=</t>
        </is>
      </c>
      <c r="E30" t="inlineStr">
        <is>
          <t>Claims</t>
        </is>
      </c>
      <c r="H30" t="inlineStr">
        <is>
          <t>Hurr ded %</t>
        </is>
      </c>
      <c r="K30" t="inlineStr">
        <is>
          <t>Wind mitigation</t>
        </is>
      </c>
      <c r="N30" t="inlineStr">
        <is>
          <t>Term months</t>
        </is>
      </c>
    </row>
    <row r="31">
      <c r="A31" t="n">
        <v>0</v>
      </c>
      <c r="B31" t="n">
        <v>1.1</v>
      </c>
      <c r="E31" t="n">
        <v>0</v>
      </c>
      <c r="F31" t="n">
        <v>1</v>
      </c>
      <c r="H31" t="n">
        <v>0.02</v>
      </c>
      <c r="I31" t="n">
        <v>1</v>
      </c>
      <c r="K31" t="inlineStr">
        <is>
          <t>None</t>
        </is>
      </c>
      <c r="L31" t="n">
        <v>1</v>
      </c>
      <c r="N31" t="n">
        <v>6</v>
      </c>
      <c r="O31" t="n">
        <v>15</v>
      </c>
    </row>
    <row r="32">
      <c r="A32" t="n">
        <v>500</v>
      </c>
      <c r="B32" t="n">
        <v>1</v>
      </c>
      <c r="E32" t="n">
        <v>1</v>
      </c>
      <c r="F32" t="n">
        <v>1.1</v>
      </c>
      <c r="H32" t="n">
        <v>0.05</v>
      </c>
      <c r="I32" t="n">
        <v>0.85</v>
      </c>
      <c r="K32" t="inlineStr">
        <is>
          <t>Basic</t>
        </is>
      </c>
      <c r="L32" t="n">
        <v>0.85</v>
      </c>
      <c r="N32" t="n">
        <v>12</v>
      </c>
      <c r="O32" t="n">
        <v>25</v>
      </c>
    </row>
    <row r="33">
      <c r="A33" t="n">
        <v>1000</v>
      </c>
      <c r="B33" t="n">
        <v>0.92</v>
      </c>
      <c r="E33" t="n">
        <v>2</v>
      </c>
      <c r="F33" t="n">
        <v>1.25</v>
      </c>
      <c r="H33" t="n">
        <v>0.1</v>
      </c>
      <c r="I33" t="n">
        <v>0.72</v>
      </c>
      <c r="K33" t="inlineStr">
        <is>
          <t>Fortified</t>
        </is>
      </c>
      <c r="L33" t="n">
        <v>0.65</v>
      </c>
    </row>
    <row r="34">
      <c r="A34" t="n">
        <v>2500</v>
      </c>
      <c r="B34" t="n">
        <v>0.82</v>
      </c>
      <c r="E34" t="n">
        <v>3</v>
      </c>
      <c r="F34" t="n">
        <v>1.5</v>
      </c>
    </row>
    <row r="35">
      <c r="A35" t="n">
        <v>5000</v>
      </c>
      <c r="B35" t="n">
        <v>0.74</v>
      </c>
    </row>
    <row r="36">
      <c r="A36" t="n">
        <v>10000</v>
      </c>
      <c r="B36" t="n">
        <v>0.66</v>
      </c>
    </row>
    <row r="39">
      <c r="A39" t="inlineStr">
        <is>
          <t>Credit</t>
        </is>
      </c>
      <c r="B39" t="inlineStr">
        <is>
          <t>Alarm</t>
        </is>
      </c>
      <c r="C39" t="inlineStr">
        <is>
          <t>ClaimsFree</t>
        </is>
      </c>
      <c r="D39" t="inlineStr">
        <is>
          <t>NewHome</t>
        </is>
      </c>
      <c r="E39" t="inlineStr">
        <is>
          <t>MitBasic</t>
        </is>
      </c>
      <c r="F39" t="inlineStr">
        <is>
          <t>MitFortified</t>
        </is>
      </c>
    </row>
    <row r="40">
      <c r="A40" t="inlineStr">
        <is>
          <t>Credit %</t>
        </is>
      </c>
      <c r="B40" t="n">
        <v>0.05</v>
      </c>
      <c r="C40" t="n">
        <v>0.1</v>
      </c>
      <c r="D40" t="n">
        <v>0.08</v>
      </c>
      <c r="E40" t="n">
        <v>0.04</v>
      </c>
      <c r="F40" t="n">
        <v>0.1</v>
      </c>
    </row>
    <row r="42">
      <c r="A42" t="inlineStr">
        <is>
          <t>CreditCap</t>
        </is>
      </c>
      <c r="B42" t="n">
        <v>0.25</v>
      </c>
    </row>
    <row r="43">
      <c r="A43" t="inlineStr">
        <is>
          <t>MinPremium</t>
        </is>
      </c>
      <c r="B43" t="n">
        <v>350</v>
      </c>
    </row>
    <row r="44">
      <c r="A44" t="inlineStr">
        <is>
          <t>AssessRate</t>
        </is>
      </c>
      <c r="B44" t="n">
        <v>0.013</v>
      </c>
    </row>
    <row r="45">
      <c r="A45" t="inlineStr">
        <is>
          <t>HurrCapPct</t>
        </is>
      </c>
      <c r="B45" t="n">
        <v>0.006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home_age</t>
        </is>
      </c>
      <c r="C1" t="inlineStr">
        <is>
          <t>roof_age_used</t>
        </is>
      </c>
      <c r="D1" t="inlineStr">
        <is>
          <t>aoi_units</t>
        </is>
      </c>
      <c r="E1" t="inlineStr">
        <is>
          <t>base_rate</t>
        </is>
      </c>
      <c r="F1" t="inlineStr">
        <is>
          <t>hurr_rate</t>
        </is>
      </c>
      <c r="G1" t="inlineStr">
        <is>
          <t>tax_rate</t>
        </is>
      </c>
      <c r="H1" t="inlineStr">
        <is>
          <t>base_premium</t>
        </is>
      </c>
      <c r="I1" t="inlineStr">
        <is>
          <t>constr_factor</t>
        </is>
      </c>
      <c r="J1" t="inlineStr">
        <is>
          <t>constr_hurr_factor</t>
        </is>
      </c>
      <c r="K1" t="inlineStr">
        <is>
          <t>pc_factor</t>
        </is>
      </c>
      <c r="L1" t="inlineStr">
        <is>
          <t>age_factor</t>
        </is>
      </c>
      <c r="M1" t="inlineStr">
        <is>
          <t>roof_factor</t>
        </is>
      </c>
      <c r="N1" t="inlineStr">
        <is>
          <t>aoi_factor</t>
        </is>
      </c>
      <c r="O1" t="inlineStr">
        <is>
          <t>ded_factor</t>
        </is>
      </c>
      <c r="P1" t="inlineStr">
        <is>
          <t>claims_factor</t>
        </is>
      </c>
      <c r="Q1" t="inlineStr">
        <is>
          <t>aop_premium</t>
        </is>
      </c>
      <c r="R1" t="inlineStr">
        <is>
          <t>alarm_flag</t>
        </is>
      </c>
      <c r="S1" t="inlineStr">
        <is>
          <t>claims_free_flag</t>
        </is>
      </c>
      <c r="T1" t="inlineStr">
        <is>
          <t>new_home_flag</t>
        </is>
      </c>
      <c r="U1" t="inlineStr">
        <is>
          <t>mit_basic_flag</t>
        </is>
      </c>
      <c r="V1" t="inlineStr">
        <is>
          <t>mit_fort_flag</t>
        </is>
      </c>
      <c r="W1" t="inlineStr">
        <is>
          <t>credit_raw</t>
        </is>
      </c>
      <c r="X1" t="inlineStr">
        <is>
          <t>credit_pct</t>
        </is>
      </c>
      <c r="Y1" t="inlineStr">
        <is>
          <t>aop_net</t>
        </is>
      </c>
      <c r="Z1" t="inlineStr">
        <is>
          <t>hurr_pct_used</t>
        </is>
      </c>
      <c r="AA1" t="inlineStr">
        <is>
          <t>hurr_ded_factor</t>
        </is>
      </c>
      <c r="AB1" t="inlineStr">
        <is>
          <t>wind_mit_factor</t>
        </is>
      </c>
      <c r="AC1" t="inlineStr">
        <is>
          <t>hurr_premium</t>
        </is>
      </c>
      <c r="AD1" t="inlineStr">
        <is>
          <t>hurr_capped</t>
        </is>
      </c>
      <c r="AE1" t="inlineStr">
        <is>
          <t>subtotal</t>
        </is>
      </c>
      <c r="AF1" t="inlineStr">
        <is>
          <t>exp_date</t>
        </is>
      </c>
      <c r="AG1" t="inlineStr">
        <is>
          <t>term_factor</t>
        </is>
      </c>
      <c r="AH1" t="inlineStr">
        <is>
          <t>term_premium</t>
        </is>
      </c>
      <c r="AI1" t="inlineStr">
        <is>
          <t>min_applied</t>
        </is>
      </c>
      <c r="AJ1" t="inlineStr">
        <is>
          <t>premium_rounded</t>
        </is>
      </c>
      <c r="AK1" t="inlineStr">
        <is>
          <t>policy_fee</t>
        </is>
      </c>
      <c r="AL1" t="inlineStr">
        <is>
          <t>assessment</t>
        </is>
      </c>
      <c r="AM1" t="inlineStr">
        <is>
          <t>tax</t>
        </is>
      </c>
      <c r="AN1" t="inlineStr">
        <is>
          <t>total_due</t>
        </is>
      </c>
      <c r="AO1" t="inlineStr">
        <is>
          <t>refer_flag</t>
        </is>
      </c>
      <c r="AP1" t="inlineStr">
        <is>
          <t>rate_per_1000</t>
        </is>
      </c>
      <c r="AQ1" t="inlineStr">
        <is>
          <t>rate_class</t>
        </is>
      </c>
    </row>
    <row r="2">
      <c r="A2">
        <f>Policies!A2</f>
        <v/>
      </c>
      <c r="B2">
        <f>IFERROR(DATEDIF(DATE(Policies!E2,1,1),Policies!M2,"y"),0)</f>
        <v/>
      </c>
      <c r="C2">
        <f>Policies!F2*1</f>
        <v/>
      </c>
      <c r="D2">
        <f>Policies!G2/1000</f>
        <v/>
      </c>
      <c r="E2">
        <f>VLOOKUP(Policies!B2,BaseRates,2,FALSE)</f>
        <v/>
      </c>
      <c r="F2">
        <f>VLOOKUP(Policies!B2,BaseRates,3,FALSE)</f>
        <v/>
      </c>
      <c r="G2">
        <f>VLOOKUP(Policies!B2,BaseRates,4,FALSE)</f>
        <v/>
      </c>
      <c r="H2">
        <f>ROUND(E2*D2,2)</f>
        <v/>
      </c>
      <c r="I2">
        <f>INDEX(RateTables!$B$13:$B$16,MATCH(Policies!C2,RateTables!$A$13:$A$16,0))</f>
        <v/>
      </c>
      <c r="J2">
        <f>INDEX(RateTables!$C$13:$C$16,MATCH(Policies!C2,RateTables!$A$13:$A$16,0))</f>
        <v/>
      </c>
      <c r="K2">
        <f>INDEX(RateTables!$B$19:$C$28,MATCH(Policies!D2,RateTables!$A$19:$A$28,0),IF(Policies!C2="Frame",1,2))</f>
        <v/>
      </c>
      <c r="L2">
        <f>VLOOKUP(B2,AgeBands,2,TRUE)</f>
        <v/>
      </c>
      <c r="M2">
        <f>VLOOKUP(C2,RoofBands,2,TRUE)</f>
        <v/>
      </c>
      <c r="N2">
        <f>VLOOKUP(Policies!G2,AOIBands,2,TRUE)</f>
        <v/>
      </c>
      <c r="O2">
        <f>VLOOKUP(Policies!H2,RateTables!$A$31:$B$35,2,TRUE)</f>
        <v/>
      </c>
      <c r="P2">
        <f>VLOOKUP(MIN(Policies!L2,3),ClaimsTable,2,FALSE)</f>
        <v/>
      </c>
      <c r="Q2">
        <f>ROUND(H2*I2*K2*L2*M2*N2*O2*P2,2)</f>
        <v/>
      </c>
      <c r="R2">
        <f>IF(Policies!J2="Y",1,0)</f>
        <v/>
      </c>
      <c r="S2">
        <f>IF(AND(Policies!L2=0,B2&gt;=3),1,0)</f>
        <v/>
      </c>
      <c r="T2">
        <f>IF(B2&lt;=5,1,0)</f>
        <v/>
      </c>
      <c r="U2">
        <f>IF(Policies!K2="Basic",1,0)</f>
        <v/>
      </c>
      <c r="V2">
        <f>IF(Policies!K2="Fortified",1,0)</f>
        <v/>
      </c>
      <c r="W2">
        <f>SUMPRODUCT(R2:V2,CreditPcts)</f>
        <v/>
      </c>
      <c r="X2">
        <f>MIN(W2,CreditCap)</f>
        <v/>
      </c>
      <c r="Y2">
        <f>ROUND(Q2*(1-X2),2)</f>
        <v/>
      </c>
      <c r="Z2">
        <f>IF(Policies!I2="",0.02,Policies!I2)</f>
        <v/>
      </c>
      <c r="AA2">
        <f>IFERROR(VLOOKUP(Z2,HurrDedTable,2,FALSE),1)</f>
        <v/>
      </c>
      <c r="AB2">
        <f>IFERROR(INDEX(RateTables!$L$31:$L$33,MATCH(Policies!K2,RateTables!$K$31:$K$33,0)),1)</f>
        <v/>
      </c>
      <c r="AC2">
        <f>ROUND(F2*D2*J2*AA2*AB2,2)</f>
        <v/>
      </c>
      <c r="AD2">
        <f>MIN(AC2,Policies!G2*HurrCapPct)</f>
        <v/>
      </c>
      <c r="AE2">
        <f>Y2+AD2</f>
        <v/>
      </c>
      <c r="AF2" s="1">
        <f>EDATE(Policies!M2,Policies!N2)</f>
        <v/>
      </c>
      <c r="AG2">
        <f>ROUND(YEARFRAC(Policies!M2,AF2,3),4)</f>
        <v/>
      </c>
      <c r="AH2">
        <f>ROUND(AE2*AG2,2)</f>
        <v/>
      </c>
      <c r="AI2">
        <f>MAX(AH2,MinPremium)</f>
        <v/>
      </c>
      <c r="AJ2">
        <f>ROUNDUP(AI2,0)</f>
        <v/>
      </c>
      <c r="AK2">
        <f>VLOOKUP(Policies!N2,FeeTable,2,FALSE)</f>
        <v/>
      </c>
      <c r="AL2">
        <f>ROUND(AJ2*AssessRate,2)</f>
        <v/>
      </c>
      <c r="AM2">
        <f>ROUND((AJ2+AK2)*G2,2)</f>
        <v/>
      </c>
      <c r="AN2">
        <f>AJ2+AK2+AL2+AM2</f>
        <v/>
      </c>
      <c r="AO2">
        <f>IF(OR(Policies!G2&gt;1000000,C2&gt;20,Policies!L2&gt;=3),"REFER","OK")</f>
        <v/>
      </c>
      <c r="AP2">
        <f>ROUND(AH2/D2,3)</f>
        <v/>
      </c>
      <c r="AQ2">
        <f>Policies!B2&amp;"-"&amp;LEFT(Policies!C2,1)&amp;TEXT(Policies!D2,"00")</f>
        <v/>
      </c>
    </row>
    <row r="3">
      <c r="A3">
        <f>Policies!A3</f>
        <v/>
      </c>
      <c r="B3">
        <f>IFERROR(DATEDIF(DATE(Policies!E3,1,1),Policies!M3,"y"),0)</f>
        <v/>
      </c>
      <c r="C3">
        <f>Policies!F3*1</f>
        <v/>
      </c>
      <c r="D3">
        <f>Policies!G3/1000</f>
        <v/>
      </c>
      <c r="E3">
        <f>VLOOKUP(Policies!B3,BaseRates,2,FALSE)</f>
        <v/>
      </c>
      <c r="F3">
        <f>VLOOKUP(Policies!B3,BaseRates,3,FALSE)</f>
        <v/>
      </c>
      <c r="G3">
        <f>VLOOKUP(Policies!B3,BaseRates,4,FALSE)</f>
        <v/>
      </c>
      <c r="H3">
        <f>ROUND(E3*D3,2)</f>
        <v/>
      </c>
      <c r="I3">
        <f>INDEX(RateTables!$B$13:$B$16,MATCH(Policies!C3,RateTables!$A$13:$A$16,0))</f>
        <v/>
      </c>
      <c r="J3">
        <f>INDEX(RateTables!$C$13:$C$16,MATCH(Policies!C3,RateTables!$A$13:$A$16,0))</f>
        <v/>
      </c>
      <c r="K3">
        <f>INDEX(RateTables!$B$19:$C$28,MATCH(Policies!D3,RateTables!$A$19:$A$28,0),IF(Policies!C3="Frame",1,2))</f>
        <v/>
      </c>
      <c r="L3">
        <f>VLOOKUP(B3,AgeBands,2,TRUE)</f>
        <v/>
      </c>
      <c r="M3">
        <f>VLOOKUP(C3,RoofBands,2,TRUE)</f>
        <v/>
      </c>
      <c r="N3">
        <f>VLOOKUP(Policies!G3,AOIBands,2,TRUE)</f>
        <v/>
      </c>
      <c r="O3">
        <f>VLOOKUP(Policies!H3,RateTables!$A$31:$B$35,2,TRUE)</f>
        <v/>
      </c>
      <c r="P3">
        <f>VLOOKUP(MIN(Policies!L3,3),ClaimsTable,2,FALSE)</f>
        <v/>
      </c>
      <c r="Q3">
        <f>ROUND(H3*I3*K3*L3*M3*N3*O3*P3,2)</f>
        <v/>
      </c>
      <c r="R3">
        <f>IF(Policies!J3="Y",1,0)</f>
        <v/>
      </c>
      <c r="S3">
        <f>IF(AND(Policies!L3=0,B3&gt;=3),1,0)</f>
        <v/>
      </c>
      <c r="T3">
        <f>IF(B3&lt;=5,1,0)</f>
        <v/>
      </c>
      <c r="U3">
        <f>IF(Policies!K3="Basic",1,0)</f>
        <v/>
      </c>
      <c r="V3">
        <f>IF(Policies!K3="Fortified",1,0)</f>
        <v/>
      </c>
      <c r="W3">
        <f>SUMPRODUCT(R3:V3,CreditPcts)</f>
        <v/>
      </c>
      <c r="X3">
        <f>MIN(W3,CreditCap)</f>
        <v/>
      </c>
      <c r="Y3">
        <f>ROUND(Q3*(1-X3),2)</f>
        <v/>
      </c>
      <c r="Z3">
        <f>IF(Policies!I3="",0.02,Policies!I3)</f>
        <v/>
      </c>
      <c r="AA3">
        <f>IFERROR(VLOOKUP(Z3,HurrDedTable,2,FALSE),1)</f>
        <v/>
      </c>
      <c r="AB3">
        <f>IFERROR(INDEX(RateTables!$L$31:$L$33,MATCH(Policies!K3,RateTables!$K$31:$K$33,0)),1)</f>
        <v/>
      </c>
      <c r="AC3">
        <f>ROUND(F3*D3*J3*AA3*AB3,2)</f>
        <v/>
      </c>
      <c r="AD3">
        <f>MIN(AC3,Policies!G3*HurrCapPct)</f>
        <v/>
      </c>
      <c r="AE3">
        <f>Y3+AD3</f>
        <v/>
      </c>
      <c r="AF3" s="1">
        <f>EDATE(Policies!M3,Policies!N3)</f>
        <v/>
      </c>
      <c r="AG3">
        <f>ROUND(YEARFRAC(Policies!M3,AF3,3),4)</f>
        <v/>
      </c>
      <c r="AH3">
        <f>ROUND(AE3*AG3,2)</f>
        <v/>
      </c>
      <c r="AI3">
        <f>MAX(AH3,MinPremium)</f>
        <v/>
      </c>
      <c r="AJ3">
        <f>ROUNDUP(AI3,0)</f>
        <v/>
      </c>
      <c r="AK3">
        <f>VLOOKUP(Policies!N3,FeeTable,2,FALSE)</f>
        <v/>
      </c>
      <c r="AL3">
        <f>ROUND(AJ3*AssessRate,2)</f>
        <v/>
      </c>
      <c r="AM3">
        <f>ROUND((AJ3+AK3)*G3,2)</f>
        <v/>
      </c>
      <c r="AN3">
        <f>AJ3+AK3+AL3+AM3</f>
        <v/>
      </c>
      <c r="AO3">
        <f>IF(OR(Policies!G3&gt;1000000,C3&gt;20,Policies!L3&gt;=3),"REFER","OK")</f>
        <v/>
      </c>
      <c r="AP3">
        <f>ROUND(AH3/D3,3)</f>
        <v/>
      </c>
      <c r="AQ3">
        <f>Policies!B3&amp;"-"&amp;LEFT(Policies!C3,1)&amp;TEXT(Policies!D3,"00")</f>
        <v/>
      </c>
    </row>
    <row r="4">
      <c r="A4">
        <f>Policies!A4</f>
        <v/>
      </c>
      <c r="B4">
        <f>IFERROR(DATEDIF(DATE(Policies!E4,1,1),Policies!M4,"y"),0)</f>
        <v/>
      </c>
      <c r="C4">
        <f>Policies!F4*1</f>
        <v/>
      </c>
      <c r="D4">
        <f>Policies!G4/1000</f>
        <v/>
      </c>
      <c r="E4">
        <f>VLOOKUP(Policies!B4,BaseRates,2,FALSE)</f>
        <v/>
      </c>
      <c r="F4">
        <f>VLOOKUP(Policies!B4,BaseRates,3,FALSE)</f>
        <v/>
      </c>
      <c r="G4">
        <f>VLOOKUP(Policies!B4,BaseRates,4,FALSE)</f>
        <v/>
      </c>
      <c r="H4">
        <f>ROUND(E4*D4,2)</f>
        <v/>
      </c>
      <c r="I4">
        <f>INDEX(RateTables!$B$13:$B$16,MATCH(Policies!C4,RateTables!$A$13:$A$16,0))</f>
        <v/>
      </c>
      <c r="J4">
        <f>INDEX(RateTables!$C$13:$C$16,MATCH(Policies!C4,RateTables!$A$13:$A$16,0))</f>
        <v/>
      </c>
      <c r="K4">
        <f>INDEX(RateTables!$B$19:$C$28,MATCH(Policies!D4,RateTables!$A$19:$A$28,0),IF(Policies!C4="Frame",1,2))</f>
        <v/>
      </c>
      <c r="L4">
        <f>VLOOKUP(B4,AgeBands,2,TRUE)</f>
        <v/>
      </c>
      <c r="M4">
        <f>VLOOKUP(C4,RoofBands,2,TRUE)</f>
        <v/>
      </c>
      <c r="N4">
        <f>VLOOKUP(Policies!G4,AOIBands,2,TRUE)</f>
        <v/>
      </c>
      <c r="O4">
        <f>VLOOKUP(Policies!H4,RateTables!$A$31:$B$35,2,TRUE)</f>
        <v/>
      </c>
      <c r="P4">
        <f>VLOOKUP(MIN(Policies!L4,3),ClaimsTable,2,FALSE)</f>
        <v/>
      </c>
      <c r="Q4">
        <f>ROUND(H4*I4*K4*L4*M4*N4*O4*P4,2)</f>
        <v/>
      </c>
      <c r="R4">
        <f>IF(Policies!J4="Y",1,0)</f>
        <v/>
      </c>
      <c r="S4">
        <f>IF(AND(Policies!L4=0,B4&gt;=3),1,0)</f>
        <v/>
      </c>
      <c r="T4">
        <f>IF(B4&lt;=5,1,0)</f>
        <v/>
      </c>
      <c r="U4">
        <f>IF(Policies!K4="Basic",1,0)</f>
        <v/>
      </c>
      <c r="V4">
        <f>IF(Policies!K4="Fortified",1,0)</f>
        <v/>
      </c>
      <c r="W4">
        <f>SUMPRODUCT(R4:V4,CreditPcts)</f>
        <v/>
      </c>
      <c r="X4">
        <f>MIN(W4,CreditCap)</f>
        <v/>
      </c>
      <c r="Y4">
        <f>ROUND(Q4*(1-X4),2)</f>
        <v/>
      </c>
      <c r="Z4">
        <f>IF(Policies!I4="",0.02,Policies!I4)</f>
        <v/>
      </c>
      <c r="AA4">
        <f>IFERROR(VLOOKUP(Z4,HurrDedTable,2,FALSE),1)</f>
        <v/>
      </c>
      <c r="AB4">
        <f>IFERROR(INDEX(RateTables!$L$31:$L$33,MATCH(Policies!K4,RateTables!$K$31:$K$33,0)),1)</f>
        <v/>
      </c>
      <c r="AC4">
        <f>ROUND(F4*D4*J4*AA4*AB4,2)</f>
        <v/>
      </c>
      <c r="AD4">
        <f>MIN(AC4,Policies!G4*HurrCapPct)</f>
        <v/>
      </c>
      <c r="AE4">
        <f>Y4+AD4</f>
        <v/>
      </c>
      <c r="AF4" s="1">
        <f>EDATE(Policies!M4,Policies!N4)</f>
        <v/>
      </c>
      <c r="AG4">
        <f>ROUND(YEARFRAC(Policies!M4,AF4,3),4)</f>
        <v/>
      </c>
      <c r="AH4">
        <f>ROUND(AE4*AG4,2)</f>
        <v/>
      </c>
      <c r="AI4">
        <f>MAX(AH4,MinPremium)</f>
        <v/>
      </c>
      <c r="AJ4">
        <f>ROUNDUP(AI4,0)</f>
        <v/>
      </c>
      <c r="AK4">
        <f>VLOOKUP(Policies!N4,FeeTable,2,FALSE)</f>
        <v/>
      </c>
      <c r="AL4">
        <f>ROUND(AJ4*AssessRate,2)</f>
        <v/>
      </c>
      <c r="AM4">
        <f>ROUND((AJ4+AK4)*G4,2)</f>
        <v/>
      </c>
      <c r="AN4">
        <f>AJ4+AK4+AL4+AM4</f>
        <v/>
      </c>
      <c r="AO4">
        <f>IF(OR(Policies!G4&gt;1000000,C4&gt;20,Policies!L4&gt;=3),"REFER","OK")</f>
        <v/>
      </c>
      <c r="AP4">
        <f>ROUND(AH4/D4,3)</f>
        <v/>
      </c>
      <c r="AQ4">
        <f>Policies!B4&amp;"-"&amp;LEFT(Policies!C4,1)&amp;TEXT(Policies!D4,"00")</f>
        <v/>
      </c>
    </row>
    <row r="5">
      <c r="A5">
        <f>Policies!A5</f>
        <v/>
      </c>
      <c r="B5">
        <f>IFERROR(DATEDIF(DATE(Policies!E5,1,1),Policies!M5,"y"),0)</f>
        <v/>
      </c>
      <c r="C5">
        <f>Policies!F5*1</f>
        <v/>
      </c>
      <c r="D5">
        <f>Policies!G5/1000</f>
        <v/>
      </c>
      <c r="E5">
        <f>VLOOKUP(Policies!B5,BaseRates,2,FALSE)</f>
        <v/>
      </c>
      <c r="F5">
        <f>VLOOKUP(Policies!B5,BaseRates,3,FALSE)</f>
        <v/>
      </c>
      <c r="G5">
        <f>VLOOKUP(Policies!B5,BaseRates,4,FALSE)</f>
        <v/>
      </c>
      <c r="H5">
        <f>ROUND(E5*D5,2)</f>
        <v/>
      </c>
      <c r="I5">
        <f>INDEX(RateTables!$B$13:$B$16,MATCH(Policies!C5,RateTables!$A$13:$A$16,0))</f>
        <v/>
      </c>
      <c r="J5">
        <f>INDEX(RateTables!$C$13:$C$16,MATCH(Policies!C5,RateTables!$A$13:$A$16,0))</f>
        <v/>
      </c>
      <c r="K5">
        <f>INDEX(RateTables!$B$19:$C$28,MATCH(Policies!D5,RateTables!$A$19:$A$28,0),IF(Policies!C5="Frame",1,2))</f>
        <v/>
      </c>
      <c r="L5">
        <f>VLOOKUP(B5,AgeBands,2,TRUE)</f>
        <v/>
      </c>
      <c r="M5">
        <f>VLOOKUP(C5,RoofBands,2,TRUE)</f>
        <v/>
      </c>
      <c r="N5">
        <f>VLOOKUP(Policies!G5,AOIBands,2,TRUE)</f>
        <v/>
      </c>
      <c r="O5">
        <f>VLOOKUP(Policies!H5,RateTables!$A$31:$B$35,2,TRUE)</f>
        <v/>
      </c>
      <c r="P5">
        <f>VLOOKUP(MIN(Policies!L5,3),ClaimsTable,2,FALSE)</f>
        <v/>
      </c>
      <c r="Q5">
        <f>ROUND(H5*I5*K5*L5*M5*N5*O5*P5,2)</f>
        <v/>
      </c>
      <c r="R5">
        <f>IF(Policies!J5="Y",1,0)</f>
        <v/>
      </c>
      <c r="S5">
        <f>IF(AND(Policies!L5=0,B5&gt;=3),1,0)</f>
        <v/>
      </c>
      <c r="T5">
        <f>IF(B5&lt;=5,1,0)</f>
        <v/>
      </c>
      <c r="U5">
        <f>IF(Policies!K5="Basic",1,0)</f>
        <v/>
      </c>
      <c r="V5">
        <f>IF(Policies!K5="Fortified",1,0)</f>
        <v/>
      </c>
      <c r="W5">
        <f>SUMPRODUCT(R5:V5,CreditPcts)</f>
        <v/>
      </c>
      <c r="X5">
        <f>MIN(W5,CreditCap)</f>
        <v/>
      </c>
      <c r="Y5">
        <f>ROUND(Q5*(1-X5),2)</f>
        <v/>
      </c>
      <c r="Z5">
        <f>IF(Policies!I5="",0.02,Policies!I5)</f>
        <v/>
      </c>
      <c r="AA5">
        <f>IFERROR(VLOOKUP(Z5,HurrDedTable,2,FALSE),1)</f>
        <v/>
      </c>
      <c r="AB5">
        <f>IFERROR(INDEX(RateTables!$L$31:$L$33,MATCH(Policies!K5,RateTables!$K$31:$K$33,0)),1)</f>
        <v/>
      </c>
      <c r="AC5">
        <f>ROUND(F5*D5*J5*AA5*AB5,2)</f>
        <v/>
      </c>
      <c r="AD5">
        <f>MIN(AC5,Policies!G5*HurrCapPct)</f>
        <v/>
      </c>
      <c r="AE5">
        <f>Y5+AD5</f>
        <v/>
      </c>
      <c r="AF5" s="1">
        <f>EDATE(Policies!M5,Policies!N5)</f>
        <v/>
      </c>
      <c r="AG5">
        <f>ROUND(YEARFRAC(Policies!M5,AF5,3),4)</f>
        <v/>
      </c>
      <c r="AH5">
        <f>ROUND(AE5*AG5,2)</f>
        <v/>
      </c>
      <c r="AI5">
        <f>MAX(AH5,MinPremium)</f>
        <v/>
      </c>
      <c r="AJ5">
        <f>ROUNDUP(AI5,0)</f>
        <v/>
      </c>
      <c r="AK5">
        <f>VLOOKUP(Policies!N5,FeeTable,2,FALSE)</f>
        <v/>
      </c>
      <c r="AL5">
        <f>ROUND(AJ5*AssessRate,2)</f>
        <v/>
      </c>
      <c r="AM5">
        <f>ROUND((AJ5+AK5)*G5,2)</f>
        <v/>
      </c>
      <c r="AN5">
        <f>AJ5+AK5+AL5+AM5</f>
        <v/>
      </c>
      <c r="AO5">
        <f>IF(OR(Policies!G5&gt;1000000,C5&gt;20,Policies!L5&gt;=3),"REFER","OK")</f>
        <v/>
      </c>
      <c r="AP5">
        <f>ROUND(AH5/D5,3)</f>
        <v/>
      </c>
      <c r="AQ5">
        <f>Policies!B5&amp;"-"&amp;LEFT(Policies!C5,1)&amp;TEXT(Policies!D5,"00")</f>
        <v/>
      </c>
    </row>
    <row r="6">
      <c r="A6">
        <f>Policies!A6</f>
        <v/>
      </c>
      <c r="B6">
        <f>IFERROR(DATEDIF(DATE(Policies!E6,1,1),Policies!M6,"y"),0)</f>
        <v/>
      </c>
      <c r="C6">
        <f>Policies!F6*1</f>
        <v/>
      </c>
      <c r="D6">
        <f>Policies!G6/1000</f>
        <v/>
      </c>
      <c r="E6">
        <f>VLOOKUP(Policies!B6,BaseRates,2,FALSE)</f>
        <v/>
      </c>
      <c r="F6">
        <f>VLOOKUP(Policies!B6,BaseRates,3,FALSE)</f>
        <v/>
      </c>
      <c r="G6">
        <f>VLOOKUP(Policies!B6,BaseRates,4,FALSE)</f>
        <v/>
      </c>
      <c r="H6">
        <f>ROUND(E6*D6,2)</f>
        <v/>
      </c>
      <c r="I6">
        <f>INDEX(RateTables!$B$13:$B$16,MATCH(Policies!C6,RateTables!$A$13:$A$16,0))</f>
        <v/>
      </c>
      <c r="J6">
        <f>INDEX(RateTables!$C$13:$C$16,MATCH(Policies!C6,RateTables!$A$13:$A$16,0))</f>
        <v/>
      </c>
      <c r="K6">
        <f>INDEX(RateTables!$B$19:$C$28,MATCH(Policies!D6,RateTables!$A$19:$A$28,0),IF(Policies!C6="Frame",1,2))</f>
        <v/>
      </c>
      <c r="L6">
        <f>VLOOKUP(B6,AgeBands,2,TRUE)</f>
        <v/>
      </c>
      <c r="M6">
        <f>VLOOKUP(C6,RoofBands,2,TRUE)</f>
        <v/>
      </c>
      <c r="N6">
        <f>VLOOKUP(Policies!G6,AOIBands,2,TRUE)</f>
        <v/>
      </c>
      <c r="O6">
        <f>VLOOKUP(Policies!H6,RateTables!$A$31:$B$35,2,TRUE)</f>
        <v/>
      </c>
      <c r="P6">
        <f>VLOOKUP(MIN(Policies!L6,3),ClaimsTable,2,FALSE)</f>
        <v/>
      </c>
      <c r="Q6">
        <f>ROUND(H6*I6*K6*L6*M6*N6*O6*P6,2)</f>
        <v/>
      </c>
      <c r="R6">
        <f>IF(Policies!J6="Y",1,0)</f>
        <v/>
      </c>
      <c r="S6">
        <f>IF(AND(Policies!L6=0,B6&gt;=3),1,0)</f>
        <v/>
      </c>
      <c r="T6">
        <f>IF(B6&lt;=5,1,0)</f>
        <v/>
      </c>
      <c r="U6">
        <f>IF(Policies!K6="Basic",1,0)</f>
        <v/>
      </c>
      <c r="V6">
        <f>IF(Policies!K6="Fortified",1,0)</f>
        <v/>
      </c>
      <c r="W6">
        <f>SUMPRODUCT(R6:V6,CreditPcts)</f>
        <v/>
      </c>
      <c r="X6">
        <f>MIN(W6,CreditCap)</f>
        <v/>
      </c>
      <c r="Y6">
        <f>ROUND(Q6*(1-X6),2)</f>
        <v/>
      </c>
      <c r="Z6">
        <f>IF(Policies!I6="",0.02,Policies!I6)</f>
        <v/>
      </c>
      <c r="AA6">
        <f>IFERROR(VLOOKUP(Z6,HurrDedTable,2,FALSE),1)</f>
        <v/>
      </c>
      <c r="AB6">
        <f>IFERROR(INDEX(RateTables!$L$31:$L$33,MATCH(Policies!K6,RateTables!$K$31:$K$33,0)),1)</f>
        <v/>
      </c>
      <c r="AC6">
        <f>ROUND(F6*D6*J6*AA6*AB6,2)</f>
        <v/>
      </c>
      <c r="AD6">
        <f>MIN(AC6,Policies!G6*HurrCapPct)</f>
        <v/>
      </c>
      <c r="AE6">
        <f>Y6+AD6</f>
        <v/>
      </c>
      <c r="AF6" s="1">
        <f>EDATE(Policies!M6,Policies!N6)</f>
        <v/>
      </c>
      <c r="AG6">
        <f>ROUND(YEARFRAC(Policies!M6,AF6,3),4)</f>
        <v/>
      </c>
      <c r="AH6">
        <f>ROUND(AE6*AG6,2)</f>
        <v/>
      </c>
      <c r="AI6">
        <f>MAX(AH6,MinPremium)</f>
        <v/>
      </c>
      <c r="AJ6">
        <f>ROUNDUP(AI6,0)</f>
        <v/>
      </c>
      <c r="AK6">
        <f>VLOOKUP(Policies!N6,FeeTable,2,FALSE)</f>
        <v/>
      </c>
      <c r="AL6">
        <f>ROUND(AJ6*AssessRate,2)</f>
        <v/>
      </c>
      <c r="AM6">
        <f>ROUND((AJ6+AK6)*G6,2)</f>
        <v/>
      </c>
      <c r="AN6">
        <f>AJ6+AK6+AL6+AM6</f>
        <v/>
      </c>
      <c r="AO6">
        <f>IF(OR(Policies!G6&gt;1000000,C6&gt;20,Policies!L6&gt;=3),"REFER","OK")</f>
        <v/>
      </c>
      <c r="AP6">
        <f>ROUND(AH6/D6,3)</f>
        <v/>
      </c>
      <c r="AQ6">
        <f>Policies!B6&amp;"-"&amp;LEFT(Policies!C6,1)&amp;TEXT(Policies!D6,"00")</f>
        <v/>
      </c>
    </row>
    <row r="7">
      <c r="A7">
        <f>Policies!A7</f>
        <v/>
      </c>
      <c r="B7">
        <f>IFERROR(DATEDIF(DATE(Policies!E7,1,1),Policies!M7,"y"),0)</f>
        <v/>
      </c>
      <c r="C7">
        <f>Policies!F7*1</f>
        <v/>
      </c>
      <c r="D7">
        <f>Policies!G7/1000</f>
        <v/>
      </c>
      <c r="E7">
        <f>VLOOKUP(Policies!B7,BaseRates,2,FALSE)</f>
        <v/>
      </c>
      <c r="F7">
        <f>VLOOKUP(Policies!B7,BaseRates,3,FALSE)</f>
        <v/>
      </c>
      <c r="G7">
        <f>VLOOKUP(Policies!B7,BaseRates,4,FALSE)</f>
        <v/>
      </c>
      <c r="H7">
        <f>ROUND(E7*D7,2)</f>
        <v/>
      </c>
      <c r="I7">
        <f>INDEX(RateTables!$B$13:$B$16,MATCH(Policies!C7,RateTables!$A$13:$A$16,0))</f>
        <v/>
      </c>
      <c r="J7">
        <f>INDEX(RateTables!$C$13:$C$16,MATCH(Policies!C7,RateTables!$A$13:$A$16,0))</f>
        <v/>
      </c>
      <c r="K7">
        <f>INDEX(RateTables!$B$19:$C$28,MATCH(Policies!D7,RateTables!$A$19:$A$28,0),IF(Policies!C7="Frame",1,2))</f>
        <v/>
      </c>
      <c r="L7">
        <f>VLOOKUP(B7,AgeBands,2,TRUE)</f>
        <v/>
      </c>
      <c r="M7">
        <f>VLOOKUP(C7,RoofBands,2,TRUE)</f>
        <v/>
      </c>
      <c r="N7">
        <f>VLOOKUP(Policies!G7,AOIBands,2,TRUE)</f>
        <v/>
      </c>
      <c r="O7">
        <f>VLOOKUP(Policies!H7,RateTables!$A$31:$B$35,2,TRUE)</f>
        <v/>
      </c>
      <c r="P7">
        <f>VLOOKUP(MIN(Policies!L7,3),ClaimsTable,2,FALSE)</f>
        <v/>
      </c>
      <c r="Q7">
        <f>ROUND(H7*I7*K7*L7*M7*N7*O7*P7,2)</f>
        <v/>
      </c>
      <c r="R7">
        <f>IF(Policies!J7="Y",1,0)</f>
        <v/>
      </c>
      <c r="S7">
        <f>IF(AND(Policies!L7=0,B7&gt;=3),1,0)</f>
        <v/>
      </c>
      <c r="T7">
        <f>IF(B7&lt;=5,1,0)</f>
        <v/>
      </c>
      <c r="U7">
        <f>IF(Policies!K7="Basic",1,0)</f>
        <v/>
      </c>
      <c r="V7">
        <f>IF(Policies!K7="Fortified",1,0)</f>
        <v/>
      </c>
      <c r="W7">
        <f>SUMPRODUCT(R7:V7,CreditPcts)</f>
        <v/>
      </c>
      <c r="X7">
        <f>MIN(W7,CreditCap)</f>
        <v/>
      </c>
      <c r="Y7">
        <f>ROUND(Q7*(1-X7),2)</f>
        <v/>
      </c>
      <c r="Z7">
        <f>IF(Policies!I7="",0.02,Policies!I7)</f>
        <v/>
      </c>
      <c r="AA7">
        <f>IFERROR(VLOOKUP(Z7,HurrDedTable,2,FALSE),1)</f>
        <v/>
      </c>
      <c r="AB7">
        <f>IFERROR(INDEX(RateTables!$L$31:$L$33,MATCH(Policies!K7,RateTables!$K$31:$K$33,0)),1)</f>
        <v/>
      </c>
      <c r="AC7">
        <f>ROUND(F7*D7*J7*AA7*AB7,2)</f>
        <v/>
      </c>
      <c r="AD7">
        <f>MIN(AC7,Policies!G7*HurrCapPct)</f>
        <v/>
      </c>
      <c r="AE7">
        <f>Y7+AD7</f>
        <v/>
      </c>
      <c r="AF7" s="1">
        <f>EDATE(Policies!M7,Policies!N7)</f>
        <v/>
      </c>
      <c r="AG7">
        <f>ROUND(YEARFRAC(Policies!M7,AF7,3),4)</f>
        <v/>
      </c>
      <c r="AH7">
        <f>ROUND(AE7*AG7,2)</f>
        <v/>
      </c>
      <c r="AI7">
        <f>MAX(AH7,MinPremium)</f>
        <v/>
      </c>
      <c r="AJ7">
        <f>ROUNDUP(AI7,0)</f>
        <v/>
      </c>
      <c r="AK7">
        <f>VLOOKUP(Policies!N7,FeeTable,2,FALSE)</f>
        <v/>
      </c>
      <c r="AL7">
        <f>ROUND(AJ7*AssessRate,2)</f>
        <v/>
      </c>
      <c r="AM7">
        <f>ROUND((AJ7+AK7)*G7,2)</f>
        <v/>
      </c>
      <c r="AN7">
        <f>AJ7+AK7+AL7+AM7</f>
        <v/>
      </c>
      <c r="AO7">
        <f>IF(OR(Policies!G7&gt;1000000,C7&gt;20,Policies!L7&gt;=3),"REFER","OK")</f>
        <v/>
      </c>
      <c r="AP7">
        <f>ROUND(AH7/D7,3)</f>
        <v/>
      </c>
      <c r="AQ7">
        <f>Policies!B7&amp;"-"&amp;LEFT(Policies!C7,1)&amp;TEXT(Policies!D7,"00")</f>
        <v/>
      </c>
    </row>
    <row r="8">
      <c r="A8">
        <f>Policies!A8</f>
        <v/>
      </c>
      <c r="B8">
        <f>IFERROR(DATEDIF(DATE(Policies!E8,1,1),Policies!M8,"y"),0)</f>
        <v/>
      </c>
      <c r="C8">
        <f>Policies!F8*1</f>
        <v/>
      </c>
      <c r="D8">
        <f>Policies!G8/1000</f>
        <v/>
      </c>
      <c r="E8">
        <f>VLOOKUP(Policies!B8,BaseRates,2,FALSE)</f>
        <v/>
      </c>
      <c r="F8">
        <f>VLOOKUP(Policies!B8,BaseRates,3,FALSE)</f>
        <v/>
      </c>
      <c r="G8">
        <f>VLOOKUP(Policies!B8,BaseRates,4,FALSE)</f>
        <v/>
      </c>
      <c r="H8">
        <f>ROUND(E8*D8,2)</f>
        <v/>
      </c>
      <c r="I8">
        <f>INDEX(RateTables!$B$13:$B$16,MATCH(Policies!C8,RateTables!$A$13:$A$16,0))</f>
        <v/>
      </c>
      <c r="J8">
        <f>INDEX(RateTables!$C$13:$C$16,MATCH(Policies!C8,RateTables!$A$13:$A$16,0))</f>
        <v/>
      </c>
      <c r="K8">
        <f>INDEX(RateTables!$B$19:$C$28,MATCH(Policies!D8,RateTables!$A$19:$A$28,0),IF(Policies!C8="Frame",1,2))</f>
        <v/>
      </c>
      <c r="L8">
        <f>VLOOKUP(B8,AgeBands,2,TRUE)</f>
        <v/>
      </c>
      <c r="M8">
        <f>VLOOKUP(C8,RoofBands,2,TRUE)</f>
        <v/>
      </c>
      <c r="N8">
        <f>VLOOKUP(Policies!G8,AOIBands,2,TRUE)</f>
        <v/>
      </c>
      <c r="O8">
        <f>VLOOKUP(Policies!H8,RateTables!$A$31:$B$35,2,TRUE)</f>
        <v/>
      </c>
      <c r="P8">
        <f>VLOOKUP(MIN(Policies!L8,3),ClaimsTable,2,FALSE)</f>
        <v/>
      </c>
      <c r="Q8">
        <f>ROUND(H8*I8*K8*L8*M8*N8*O8*P8,2)</f>
        <v/>
      </c>
      <c r="R8">
        <f>IF(Policies!J8="Y",1,0)</f>
        <v/>
      </c>
      <c r="S8">
        <f>IF(AND(Policies!L8=0,B8&gt;=3),1,0)</f>
        <v/>
      </c>
      <c r="T8">
        <f>IF(B8&lt;=5,1,0)</f>
        <v/>
      </c>
      <c r="U8">
        <f>IF(Policies!K8="Basic",1,0)</f>
        <v/>
      </c>
      <c r="V8">
        <f>IF(Policies!K8="Fortified",1,0)</f>
        <v/>
      </c>
      <c r="W8">
        <f>SUMPRODUCT(R8:V8,CreditPcts)</f>
        <v/>
      </c>
      <c r="X8">
        <f>MIN(W8,CreditCap)</f>
        <v/>
      </c>
      <c r="Y8">
        <f>ROUND(Q8*(1-X8),2)</f>
        <v/>
      </c>
      <c r="Z8">
        <f>IF(Policies!I8="",0.02,Policies!I8)</f>
        <v/>
      </c>
      <c r="AA8">
        <f>IFERROR(VLOOKUP(Z8,HurrDedTable,2,FALSE),1)</f>
        <v/>
      </c>
      <c r="AB8">
        <f>IFERROR(INDEX(RateTables!$L$31:$L$33,MATCH(Policies!K8,RateTables!$K$31:$K$33,0)),1)</f>
        <v/>
      </c>
      <c r="AC8">
        <f>ROUND(F8*D8*J8*AA8*AB8,2)</f>
        <v/>
      </c>
      <c r="AD8">
        <f>MIN(AC8,Policies!G8*HurrCapPct)</f>
        <v/>
      </c>
      <c r="AE8">
        <f>Y8+AD8</f>
        <v/>
      </c>
      <c r="AF8" s="1">
        <f>EDATE(Policies!M8,Policies!N8)</f>
        <v/>
      </c>
      <c r="AG8">
        <f>ROUND(YEARFRAC(Policies!M8,AF8,3),4)</f>
        <v/>
      </c>
      <c r="AH8">
        <f>ROUND(AE8*AG8,2)</f>
        <v/>
      </c>
      <c r="AI8">
        <f>MAX(AH8,MinPremium)</f>
        <v/>
      </c>
      <c r="AJ8">
        <f>ROUNDUP(AI8,0)</f>
        <v/>
      </c>
      <c r="AK8">
        <f>VLOOKUP(Policies!N8,FeeTable,2,FALSE)</f>
        <v/>
      </c>
      <c r="AL8">
        <f>ROUND(AJ8*AssessRate,2)</f>
        <v/>
      </c>
      <c r="AM8">
        <f>ROUND((AJ8+AK8)*G8,2)</f>
        <v/>
      </c>
      <c r="AN8">
        <f>AJ8+AK8+AL8+AM8</f>
        <v/>
      </c>
      <c r="AO8">
        <f>IF(OR(Policies!G8&gt;1000000,C8&gt;20,Policies!L8&gt;=3),"REFER","OK")</f>
        <v/>
      </c>
      <c r="AP8">
        <f>ROUND(AH8/D8,3)</f>
        <v/>
      </c>
      <c r="AQ8">
        <f>Policies!B8&amp;"-"&amp;LEFT(Policies!C8,1)&amp;TEXT(Policies!D8,"00")</f>
        <v/>
      </c>
    </row>
    <row r="9">
      <c r="A9">
        <f>Policies!A9</f>
        <v/>
      </c>
      <c r="B9">
        <f>IFERROR(DATEDIF(DATE(Policies!E9,1,1),Policies!M9,"y"),0)</f>
        <v/>
      </c>
      <c r="C9">
        <f>Policies!F9*1</f>
        <v/>
      </c>
      <c r="D9">
        <f>Policies!G9/1000</f>
        <v/>
      </c>
      <c r="E9">
        <f>VLOOKUP(Policies!B9,BaseRates,2,FALSE)</f>
        <v/>
      </c>
      <c r="F9">
        <f>VLOOKUP(Policies!B9,BaseRates,3,FALSE)</f>
        <v/>
      </c>
      <c r="G9">
        <f>VLOOKUP(Policies!B9,BaseRates,4,FALSE)</f>
        <v/>
      </c>
      <c r="H9">
        <f>ROUND(E9*D9,2)</f>
        <v/>
      </c>
      <c r="I9">
        <f>INDEX(RateTables!$B$13:$B$16,MATCH(Policies!C9,RateTables!$A$13:$A$16,0))</f>
        <v/>
      </c>
      <c r="J9">
        <f>INDEX(RateTables!$C$13:$C$16,MATCH(Policies!C9,RateTables!$A$13:$A$16,0))</f>
        <v/>
      </c>
      <c r="K9">
        <f>INDEX(RateTables!$B$19:$C$28,MATCH(Policies!D9,RateTables!$A$19:$A$28,0),IF(Policies!C9="Frame",1,2))</f>
        <v/>
      </c>
      <c r="L9">
        <f>VLOOKUP(B9,AgeBands,2,TRUE)</f>
        <v/>
      </c>
      <c r="M9">
        <f>VLOOKUP(C9,RoofBands,2,TRUE)</f>
        <v/>
      </c>
      <c r="N9">
        <f>VLOOKUP(Policies!G9,AOIBands,2,TRUE)</f>
        <v/>
      </c>
      <c r="O9">
        <f>VLOOKUP(Policies!H9,RateTables!$A$31:$B$35,2,TRUE)</f>
        <v/>
      </c>
      <c r="P9">
        <f>VLOOKUP(MIN(Policies!L9,3),ClaimsTable,2,FALSE)</f>
        <v/>
      </c>
      <c r="Q9">
        <f>ROUND(H9*I9*K9*L9*M9*N9*O9*P9,2)</f>
        <v/>
      </c>
      <c r="R9">
        <f>IF(Policies!J9="Y",1,0)</f>
        <v/>
      </c>
      <c r="S9">
        <f>IF(AND(Policies!L9=0,B9&gt;=3),1,0)</f>
        <v/>
      </c>
      <c r="T9">
        <f>IF(B9&lt;=5,1,0)</f>
        <v/>
      </c>
      <c r="U9">
        <f>IF(Policies!K9="Basic",1,0)</f>
        <v/>
      </c>
      <c r="V9">
        <f>IF(Policies!K9="Fortified",1,0)</f>
        <v/>
      </c>
      <c r="W9">
        <f>SUMPRODUCT(R9:V9,CreditPcts)</f>
        <v/>
      </c>
      <c r="X9">
        <f>MIN(W9,CreditCap)</f>
        <v/>
      </c>
      <c r="Y9">
        <f>ROUND(Q9*(1-X9),2)</f>
        <v/>
      </c>
      <c r="Z9">
        <f>IF(Policies!I9="",0.02,Policies!I9)</f>
        <v/>
      </c>
      <c r="AA9">
        <f>IFERROR(VLOOKUP(Z9,HurrDedTable,2,FALSE),1)</f>
        <v/>
      </c>
      <c r="AB9">
        <f>IFERROR(INDEX(RateTables!$L$31:$L$33,MATCH(Policies!K9,RateTables!$K$31:$K$33,0)),1)</f>
        <v/>
      </c>
      <c r="AC9">
        <f>ROUND(F9*D9*J9*AA9*AB9,2)</f>
        <v/>
      </c>
      <c r="AD9">
        <f>MIN(AC9,Policies!G9*HurrCapPct)</f>
        <v/>
      </c>
      <c r="AE9">
        <f>Y9+AD9</f>
        <v/>
      </c>
      <c r="AF9" s="1">
        <f>EDATE(Policies!M9,Policies!N9)</f>
        <v/>
      </c>
      <c r="AG9">
        <f>ROUND(YEARFRAC(Policies!M9,AF9,3),4)</f>
        <v/>
      </c>
      <c r="AH9">
        <f>ROUND(AE9*AG9,2)</f>
        <v/>
      </c>
      <c r="AI9">
        <f>MAX(AH9,MinPremium)</f>
        <v/>
      </c>
      <c r="AJ9">
        <f>ROUNDUP(AI9,0)</f>
        <v/>
      </c>
      <c r="AK9">
        <f>VLOOKUP(Policies!N9,FeeTable,2,FALSE)</f>
        <v/>
      </c>
      <c r="AL9">
        <f>ROUND(AJ9*AssessRate,2)</f>
        <v/>
      </c>
      <c r="AM9">
        <f>ROUND((AJ9+AK9)*G9,2)</f>
        <v/>
      </c>
      <c r="AN9">
        <f>AJ9+AK9+AL9+AM9</f>
        <v/>
      </c>
      <c r="AO9">
        <f>IF(OR(Policies!G9&gt;1000000,C9&gt;20,Policies!L9&gt;=3),"REFER","OK")</f>
        <v/>
      </c>
      <c r="AP9">
        <f>ROUND(AH9/D9,3)</f>
        <v/>
      </c>
      <c r="AQ9">
        <f>Policies!B9&amp;"-"&amp;LEFT(Policies!C9,1)&amp;TEXT(Policies!D9,"00")</f>
        <v/>
      </c>
    </row>
    <row r="10">
      <c r="A10">
        <f>Policies!A10</f>
        <v/>
      </c>
      <c r="B10">
        <f>IFERROR(DATEDIF(DATE(Policies!E10,1,1),Policies!M10,"y"),0)</f>
        <v/>
      </c>
      <c r="C10">
        <f>Policies!F10*1</f>
        <v/>
      </c>
      <c r="D10">
        <f>Policies!G10/1000</f>
        <v/>
      </c>
      <c r="E10">
        <f>VLOOKUP(Policies!B10,BaseRates,2,FALSE)</f>
        <v/>
      </c>
      <c r="F10">
        <f>VLOOKUP(Policies!B10,BaseRates,3,FALSE)</f>
        <v/>
      </c>
      <c r="G10">
        <f>VLOOKUP(Policies!B10,BaseRates,4,FALSE)</f>
        <v/>
      </c>
      <c r="H10">
        <f>ROUND(E10*D10,2)</f>
        <v/>
      </c>
      <c r="I10">
        <f>INDEX(RateTables!$B$13:$B$16,MATCH(Policies!C10,RateTables!$A$13:$A$16,0))</f>
        <v/>
      </c>
      <c r="J10">
        <f>INDEX(RateTables!$C$13:$C$16,MATCH(Policies!C10,RateTables!$A$13:$A$16,0))</f>
        <v/>
      </c>
      <c r="K10">
        <f>INDEX(RateTables!$B$19:$C$28,MATCH(Policies!D10,RateTables!$A$19:$A$28,0),IF(Policies!C10="Frame",1,2))</f>
        <v/>
      </c>
      <c r="L10">
        <f>VLOOKUP(B10,AgeBands,2,TRUE)</f>
        <v/>
      </c>
      <c r="M10">
        <f>VLOOKUP(C10,RoofBands,2,TRUE)</f>
        <v/>
      </c>
      <c r="N10">
        <f>VLOOKUP(Policies!G10,AOIBands,2,TRUE)</f>
        <v/>
      </c>
      <c r="O10">
        <f>VLOOKUP(Policies!H10,RateTables!$A$31:$B$35,2,TRUE)</f>
        <v/>
      </c>
      <c r="P10">
        <f>VLOOKUP(MIN(Policies!L10,3),ClaimsTable,2,FALSE)</f>
        <v/>
      </c>
      <c r="Q10">
        <f>ROUND(H10*I10*K10*L10*M10*N10*O10*P10,2)</f>
        <v/>
      </c>
      <c r="R10">
        <f>IF(Policies!J10="Y",1,0)</f>
        <v/>
      </c>
      <c r="S10">
        <f>IF(AND(Policies!L10=0,B10&gt;=3),1,0)</f>
        <v/>
      </c>
      <c r="T10">
        <f>IF(B10&lt;=5,1,0)</f>
        <v/>
      </c>
      <c r="U10">
        <f>IF(Policies!K10="Basic",1,0)</f>
        <v/>
      </c>
      <c r="V10">
        <f>IF(Policies!K10="Fortified",1,0)</f>
        <v/>
      </c>
      <c r="W10">
        <f>SUMPRODUCT(R10:V10,CreditPcts)</f>
        <v/>
      </c>
      <c r="X10">
        <f>MIN(W10,CreditCap)</f>
        <v/>
      </c>
      <c r="Y10">
        <f>ROUND(Q10*(1-X10),2)</f>
        <v/>
      </c>
      <c r="Z10">
        <f>IF(Policies!I10="",0.02,Policies!I10)</f>
        <v/>
      </c>
      <c r="AA10">
        <f>IFERROR(VLOOKUP(Z10,HurrDedTable,2,FALSE),1)</f>
        <v/>
      </c>
      <c r="AB10">
        <f>IFERROR(INDEX(RateTables!$L$31:$L$33,MATCH(Policies!K10,RateTables!$K$31:$K$33,0)),1)</f>
        <v/>
      </c>
      <c r="AC10">
        <f>ROUND(F10*D10*J10*AA10*AB10,2)</f>
        <v/>
      </c>
      <c r="AD10">
        <f>MIN(AC10,Policies!G10*HurrCapPct)</f>
        <v/>
      </c>
      <c r="AE10">
        <f>Y10+AD10</f>
        <v/>
      </c>
      <c r="AF10" s="1">
        <f>EDATE(Policies!M10,Policies!N10)</f>
        <v/>
      </c>
      <c r="AG10">
        <f>ROUND(YEARFRAC(Policies!M10,AF10,3),4)</f>
        <v/>
      </c>
      <c r="AH10">
        <f>ROUND(AE10*AG10,2)</f>
        <v/>
      </c>
      <c r="AI10">
        <f>MAX(AH10,MinPremium)</f>
        <v/>
      </c>
      <c r="AJ10">
        <f>ROUNDUP(AI10,0)</f>
        <v/>
      </c>
      <c r="AK10">
        <f>VLOOKUP(Policies!N10,FeeTable,2,FALSE)</f>
        <v/>
      </c>
      <c r="AL10">
        <f>ROUND(AJ10*AssessRate,2)</f>
        <v/>
      </c>
      <c r="AM10">
        <f>ROUND((AJ10+AK10)*G10,2)</f>
        <v/>
      </c>
      <c r="AN10">
        <f>AJ10+AK10+AL10+AM10</f>
        <v/>
      </c>
      <c r="AO10">
        <f>IF(OR(Policies!G10&gt;1000000,C10&gt;20,Policies!L10&gt;=3),"REFER","OK")</f>
        <v/>
      </c>
      <c r="AP10">
        <f>ROUND(AH10/D10,3)</f>
        <v/>
      </c>
      <c r="AQ10">
        <f>Policies!B10&amp;"-"&amp;LEFT(Policies!C10,1)&amp;TEXT(Policies!D10,"00")</f>
        <v/>
      </c>
    </row>
    <row r="11">
      <c r="A11">
        <f>Policies!A11</f>
        <v/>
      </c>
      <c r="B11">
        <f>IFERROR(DATEDIF(DATE(Policies!E11,1,1),Policies!M11,"y"),0)</f>
        <v/>
      </c>
      <c r="C11">
        <f>Policies!F11*1</f>
        <v/>
      </c>
      <c r="D11">
        <f>Policies!G11/1000</f>
        <v/>
      </c>
      <c r="E11">
        <f>VLOOKUP(Policies!B11,BaseRates,2,FALSE)</f>
        <v/>
      </c>
      <c r="F11">
        <f>VLOOKUP(Policies!B11,BaseRates,3,FALSE)</f>
        <v/>
      </c>
      <c r="G11">
        <f>VLOOKUP(Policies!B11,BaseRates,4,FALSE)</f>
        <v/>
      </c>
      <c r="H11">
        <f>ROUND(E11*D11,2)</f>
        <v/>
      </c>
      <c r="I11">
        <f>INDEX(RateTables!$B$13:$B$16,MATCH(Policies!C11,RateTables!$A$13:$A$16,0))</f>
        <v/>
      </c>
      <c r="J11">
        <f>INDEX(RateTables!$C$13:$C$16,MATCH(Policies!C11,RateTables!$A$13:$A$16,0))</f>
        <v/>
      </c>
      <c r="K11">
        <f>INDEX(RateTables!$B$19:$C$28,MATCH(Policies!D11,RateTables!$A$19:$A$28,0),IF(Policies!C11="Frame",1,2))</f>
        <v/>
      </c>
      <c r="L11">
        <f>VLOOKUP(B11,AgeBands,2,TRUE)</f>
        <v/>
      </c>
      <c r="M11">
        <f>VLOOKUP(C11,RoofBands,2,TRUE)</f>
        <v/>
      </c>
      <c r="N11">
        <f>VLOOKUP(Policies!G11,AOIBands,2,TRUE)</f>
        <v/>
      </c>
      <c r="O11">
        <f>VLOOKUP(Policies!H11,RateTables!$A$31:$B$35,2,TRUE)</f>
        <v/>
      </c>
      <c r="P11">
        <f>VLOOKUP(MIN(Policies!L11,3),ClaimsTable,2,FALSE)</f>
        <v/>
      </c>
      <c r="Q11">
        <f>ROUND(H11*I11*K11*L11*M11*N11*O11*P11,2)</f>
        <v/>
      </c>
      <c r="R11">
        <f>IF(Policies!J11="Y",1,0)</f>
        <v/>
      </c>
      <c r="S11">
        <f>IF(AND(Policies!L11=0,B11&gt;=3),1,0)</f>
        <v/>
      </c>
      <c r="T11">
        <f>IF(B11&lt;=5,1,0)</f>
        <v/>
      </c>
      <c r="U11">
        <f>IF(Policies!K11="Basic",1,0)</f>
        <v/>
      </c>
      <c r="V11">
        <f>IF(Policies!K11="Fortified",1,0)</f>
        <v/>
      </c>
      <c r="W11">
        <f>SUMPRODUCT(R11:V11,CreditPcts)</f>
        <v/>
      </c>
      <c r="X11">
        <f>MIN(W11,CreditCap)</f>
        <v/>
      </c>
      <c r="Y11">
        <f>ROUND(Q11*(1-X11),2)</f>
        <v/>
      </c>
      <c r="Z11">
        <f>IF(Policies!I11="",0.02,Policies!I11)</f>
        <v/>
      </c>
      <c r="AA11">
        <f>IFERROR(VLOOKUP(Z11,HurrDedTable,2,FALSE),1)</f>
        <v/>
      </c>
      <c r="AB11">
        <f>IFERROR(INDEX(RateTables!$L$31:$L$33,MATCH(Policies!K11,RateTables!$K$31:$K$33,0)),1)</f>
        <v/>
      </c>
      <c r="AC11">
        <f>ROUND(F11*D11*J11*AA11*AB11,2)</f>
        <v/>
      </c>
      <c r="AD11">
        <f>MIN(AC11,Policies!G11*HurrCapPct)</f>
        <v/>
      </c>
      <c r="AE11">
        <f>Y11+AD11</f>
        <v/>
      </c>
      <c r="AF11" s="1">
        <f>EDATE(Policies!M11,Policies!N11)</f>
        <v/>
      </c>
      <c r="AG11">
        <f>ROUND(YEARFRAC(Policies!M11,AF11,3),4)</f>
        <v/>
      </c>
      <c r="AH11">
        <f>ROUND(AE11*AG11,2)</f>
        <v/>
      </c>
      <c r="AI11">
        <f>MAX(AH11,MinPremium)</f>
        <v/>
      </c>
      <c r="AJ11">
        <f>ROUNDUP(AI11,0)</f>
        <v/>
      </c>
      <c r="AK11">
        <f>VLOOKUP(Policies!N11,FeeTable,2,FALSE)</f>
        <v/>
      </c>
      <c r="AL11">
        <f>ROUND(AJ11*AssessRate,2)</f>
        <v/>
      </c>
      <c r="AM11">
        <f>ROUND((AJ11+AK11)*G11,2)</f>
        <v/>
      </c>
      <c r="AN11">
        <f>AJ11+AK11+AL11+AM11</f>
        <v/>
      </c>
      <c r="AO11">
        <f>IF(OR(Policies!G11&gt;1000000,C11&gt;20,Policies!L11&gt;=3),"REFER","OK")</f>
        <v/>
      </c>
      <c r="AP11">
        <f>ROUND(AH11/D11,3)</f>
        <v/>
      </c>
      <c r="AQ11">
        <f>Policies!B11&amp;"-"&amp;LEFT(Policies!C11,1)&amp;TEXT(Policies!D11,"00")</f>
        <v/>
      </c>
    </row>
    <row r="12">
      <c r="A12">
        <f>Policies!A12</f>
        <v/>
      </c>
      <c r="B12">
        <f>IFERROR(DATEDIF(DATE(Policies!E12,1,1),Policies!M12,"y"),0)</f>
        <v/>
      </c>
      <c r="C12">
        <f>Policies!F12*1</f>
        <v/>
      </c>
      <c r="D12">
        <f>Policies!G12/1000</f>
        <v/>
      </c>
      <c r="E12">
        <f>VLOOKUP(Policies!B12,BaseRates,2,FALSE)</f>
        <v/>
      </c>
      <c r="F12">
        <f>VLOOKUP(Policies!B12,BaseRates,3,FALSE)</f>
        <v/>
      </c>
      <c r="G12">
        <f>VLOOKUP(Policies!B12,BaseRates,4,FALSE)</f>
        <v/>
      </c>
      <c r="H12">
        <f>ROUND(E12*D12,2)</f>
        <v/>
      </c>
      <c r="I12">
        <f>INDEX(RateTables!$B$13:$B$16,MATCH(Policies!C12,RateTables!$A$13:$A$16,0))</f>
        <v/>
      </c>
      <c r="J12">
        <f>INDEX(RateTables!$C$13:$C$16,MATCH(Policies!C12,RateTables!$A$13:$A$16,0))</f>
        <v/>
      </c>
      <c r="K12">
        <f>INDEX(RateTables!$B$19:$C$28,MATCH(Policies!D12,RateTables!$A$19:$A$28,0),IF(Policies!C12="Frame",1,2))</f>
        <v/>
      </c>
      <c r="L12">
        <f>VLOOKUP(B12,AgeBands,2,TRUE)</f>
        <v/>
      </c>
      <c r="M12">
        <f>VLOOKUP(C12,RoofBands,2,TRUE)</f>
        <v/>
      </c>
      <c r="N12">
        <f>VLOOKUP(Policies!G12,AOIBands,2,TRUE)</f>
        <v/>
      </c>
      <c r="O12">
        <f>VLOOKUP(Policies!H12,RateTables!$A$31:$B$35,2,TRUE)</f>
        <v/>
      </c>
      <c r="P12">
        <f>VLOOKUP(MIN(Policies!L12,3),ClaimsTable,2,FALSE)</f>
        <v/>
      </c>
      <c r="Q12">
        <f>ROUND(H12*I12*K12*L12*M12*N12*O12*P12,2)</f>
        <v/>
      </c>
      <c r="R12">
        <f>IF(Policies!J12="Y",1,0)</f>
        <v/>
      </c>
      <c r="S12">
        <f>IF(AND(Policies!L12=0,B12&gt;=3),1,0)</f>
        <v/>
      </c>
      <c r="T12">
        <f>IF(B12&lt;=5,1,0)</f>
        <v/>
      </c>
      <c r="U12">
        <f>IF(Policies!K12="Basic",1,0)</f>
        <v/>
      </c>
      <c r="V12">
        <f>IF(Policies!K12="Fortified",1,0)</f>
        <v/>
      </c>
      <c r="W12">
        <f>SUMPRODUCT(R12:V12,CreditPcts)</f>
        <v/>
      </c>
      <c r="X12">
        <f>MIN(W12,CreditCap)</f>
        <v/>
      </c>
      <c r="Y12">
        <f>ROUND(Q12*(1-X12),2)</f>
        <v/>
      </c>
      <c r="Z12">
        <f>IF(Policies!I12="",0.02,Policies!I12)</f>
        <v/>
      </c>
      <c r="AA12">
        <f>IFERROR(VLOOKUP(Z12,HurrDedTable,2,FALSE),1)</f>
        <v/>
      </c>
      <c r="AB12">
        <f>IFERROR(INDEX(RateTables!$L$31:$L$33,MATCH(Policies!K12,RateTables!$K$31:$K$33,0)),1)</f>
        <v/>
      </c>
      <c r="AC12">
        <f>ROUND(F12*D12*J12*AA12*AB12,2)</f>
        <v/>
      </c>
      <c r="AD12">
        <f>MIN(AC12,Policies!G12*HurrCapPct)</f>
        <v/>
      </c>
      <c r="AE12">
        <f>Y12+AD12</f>
        <v/>
      </c>
      <c r="AF12" s="1">
        <f>EDATE(Policies!M12,Policies!N12)</f>
        <v/>
      </c>
      <c r="AG12">
        <f>ROUND(YEARFRAC(Policies!M12,AF12,3),4)</f>
        <v/>
      </c>
      <c r="AH12">
        <f>ROUND(AE12*AG12,2)</f>
        <v/>
      </c>
      <c r="AI12">
        <f>MAX(AH12,MinPremium)</f>
        <v/>
      </c>
      <c r="AJ12">
        <f>ROUNDUP(AI12,0)</f>
        <v/>
      </c>
      <c r="AK12">
        <f>VLOOKUP(Policies!N12,FeeTable,2,FALSE)</f>
        <v/>
      </c>
      <c r="AL12">
        <f>ROUND(AJ12*AssessRate,2)</f>
        <v/>
      </c>
      <c r="AM12">
        <f>ROUND((AJ12+AK12)*G12,2)</f>
        <v/>
      </c>
      <c r="AN12">
        <f>AJ12+AK12+AL12+AM12</f>
        <v/>
      </c>
      <c r="AO12">
        <f>IF(OR(Policies!G12&gt;1000000,C12&gt;20,Policies!L12&gt;=3),"REFER","OK")</f>
        <v/>
      </c>
      <c r="AP12">
        <f>ROUND(AH12/D12,3)</f>
        <v/>
      </c>
      <c r="AQ12">
        <f>Policies!B12&amp;"-"&amp;LEFT(Policies!C12,1)&amp;TEXT(Policies!D12,"00")</f>
        <v/>
      </c>
    </row>
    <row r="13">
      <c r="A13">
        <f>Policies!A13</f>
        <v/>
      </c>
      <c r="B13">
        <f>IFERROR(DATEDIF(DATE(Policies!E13,1,1),Policies!M13,"y"),0)</f>
        <v/>
      </c>
      <c r="C13">
        <f>Policies!F13*1</f>
        <v/>
      </c>
      <c r="D13">
        <f>Policies!G13/1000</f>
        <v/>
      </c>
      <c r="E13">
        <f>VLOOKUP(Policies!B13,BaseRates,2,FALSE)</f>
        <v/>
      </c>
      <c r="F13">
        <f>VLOOKUP(Policies!B13,BaseRates,3,FALSE)</f>
        <v/>
      </c>
      <c r="G13">
        <f>VLOOKUP(Policies!B13,BaseRates,4,FALSE)</f>
        <v/>
      </c>
      <c r="H13">
        <f>ROUND(E13*D13,2)</f>
        <v/>
      </c>
      <c r="I13">
        <f>INDEX(RateTables!$B$13:$B$16,MATCH(Policies!C13,RateTables!$A$13:$A$16,0))</f>
        <v/>
      </c>
      <c r="J13">
        <f>INDEX(RateTables!$C$13:$C$16,MATCH(Policies!C13,RateTables!$A$13:$A$16,0))</f>
        <v/>
      </c>
      <c r="K13">
        <f>INDEX(RateTables!$B$19:$C$28,MATCH(Policies!D13,RateTables!$A$19:$A$28,0),IF(Policies!C13="Frame",1,2))</f>
        <v/>
      </c>
      <c r="L13">
        <f>VLOOKUP(B13,AgeBands,2,TRUE)</f>
        <v/>
      </c>
      <c r="M13">
        <f>VLOOKUP(C13,RoofBands,2,TRUE)</f>
        <v/>
      </c>
      <c r="N13">
        <f>VLOOKUP(Policies!G13,AOIBands,2,TRUE)</f>
        <v/>
      </c>
      <c r="O13">
        <f>VLOOKUP(Policies!H13,RateTables!$A$31:$B$35,2,TRUE)</f>
        <v/>
      </c>
      <c r="P13">
        <f>VLOOKUP(MIN(Policies!L13,3),ClaimsTable,2,FALSE)</f>
        <v/>
      </c>
      <c r="Q13">
        <f>ROUND(H13*I13*K13*L13*M13*N13*O13*P13,2)</f>
        <v/>
      </c>
      <c r="R13">
        <f>IF(Policies!J13="Y",1,0)</f>
        <v/>
      </c>
      <c r="S13">
        <f>IF(AND(Policies!L13=0,B13&gt;=3),1,0)</f>
        <v/>
      </c>
      <c r="T13">
        <f>IF(B13&lt;=5,1,0)</f>
        <v/>
      </c>
      <c r="U13">
        <f>IF(Policies!K13="Basic",1,0)</f>
        <v/>
      </c>
      <c r="V13">
        <f>IF(Policies!K13="Fortified",1,0)</f>
        <v/>
      </c>
      <c r="W13">
        <f>SUMPRODUCT(R13:V13,CreditPcts)</f>
        <v/>
      </c>
      <c r="X13">
        <f>MIN(W13,CreditCap)</f>
        <v/>
      </c>
      <c r="Y13">
        <f>ROUND(Q13*(1-X13),2)</f>
        <v/>
      </c>
      <c r="Z13">
        <f>IF(Policies!I13="",0.02,Policies!I13)</f>
        <v/>
      </c>
      <c r="AA13">
        <f>IFERROR(VLOOKUP(Z13,HurrDedTable,2,FALSE),1)</f>
        <v/>
      </c>
      <c r="AB13">
        <f>IFERROR(INDEX(RateTables!$L$31:$L$33,MATCH(Policies!K13,RateTables!$K$31:$K$33,0)),1)</f>
        <v/>
      </c>
      <c r="AC13">
        <f>ROUND(F13*D13*J13*AA13*AB13,2)</f>
        <v/>
      </c>
      <c r="AD13">
        <f>MIN(AC13,Policies!G13*HurrCapPct)</f>
        <v/>
      </c>
      <c r="AE13">
        <f>Y13+AD13</f>
        <v/>
      </c>
      <c r="AF13" s="1">
        <f>EDATE(Policies!M13,Policies!N13)</f>
        <v/>
      </c>
      <c r="AG13">
        <f>ROUND(YEARFRAC(Policies!M13,AF13,3),4)</f>
        <v/>
      </c>
      <c r="AH13">
        <f>ROUND(AE13*AG13,2)</f>
        <v/>
      </c>
      <c r="AI13">
        <f>MAX(AH13,MinPremium)</f>
        <v/>
      </c>
      <c r="AJ13">
        <f>ROUNDUP(AI13,0)</f>
        <v/>
      </c>
      <c r="AK13">
        <f>VLOOKUP(Policies!N13,FeeTable,2,FALSE)</f>
        <v/>
      </c>
      <c r="AL13">
        <f>ROUND(AJ13*AssessRate,2)</f>
        <v/>
      </c>
      <c r="AM13">
        <f>ROUND((AJ13+AK13)*G13,2)</f>
        <v/>
      </c>
      <c r="AN13">
        <f>AJ13+AK13+AL13+AM13</f>
        <v/>
      </c>
      <c r="AO13">
        <f>IF(OR(Policies!G13&gt;1000000,C13&gt;20,Policies!L13&gt;=3),"REFER","OK")</f>
        <v/>
      </c>
      <c r="AP13">
        <f>ROUND(AH13/D13,3)</f>
        <v/>
      </c>
      <c r="AQ13">
        <f>Policies!B13&amp;"-"&amp;LEFT(Policies!C13,1)&amp;TEXT(Policies!D13,"00")</f>
        <v/>
      </c>
    </row>
    <row r="14">
      <c r="A14">
        <f>Policies!A14</f>
        <v/>
      </c>
      <c r="B14">
        <f>IFERROR(DATEDIF(DATE(Policies!E14,1,1),Policies!M14,"y"),0)</f>
        <v/>
      </c>
      <c r="C14">
        <f>Policies!F14*1</f>
        <v/>
      </c>
      <c r="D14">
        <f>Policies!G14/1000</f>
        <v/>
      </c>
      <c r="E14">
        <f>VLOOKUP(Policies!B14,BaseRates,2,FALSE)</f>
        <v/>
      </c>
      <c r="F14">
        <f>VLOOKUP(Policies!B14,BaseRates,3,FALSE)</f>
        <v/>
      </c>
      <c r="G14">
        <f>VLOOKUP(Policies!B14,BaseRates,4,FALSE)</f>
        <v/>
      </c>
      <c r="H14">
        <f>ROUND(E14*D14,2)</f>
        <v/>
      </c>
      <c r="I14">
        <f>INDEX(RateTables!$B$13:$B$16,MATCH(Policies!C14,RateTables!$A$13:$A$16,0))</f>
        <v/>
      </c>
      <c r="J14">
        <f>INDEX(RateTables!$C$13:$C$16,MATCH(Policies!C14,RateTables!$A$13:$A$16,0))</f>
        <v/>
      </c>
      <c r="K14">
        <f>INDEX(RateTables!$B$19:$C$28,MATCH(Policies!D14,RateTables!$A$19:$A$28,0),IF(Policies!C14="Frame",1,2))</f>
        <v/>
      </c>
      <c r="L14">
        <f>VLOOKUP(B14,AgeBands,2,TRUE)</f>
        <v/>
      </c>
      <c r="M14">
        <f>VLOOKUP(C14,RoofBands,2,TRUE)</f>
        <v/>
      </c>
      <c r="N14">
        <f>VLOOKUP(Policies!G14,AOIBands,2,TRUE)</f>
        <v/>
      </c>
      <c r="O14">
        <f>VLOOKUP(Policies!H14,RateTables!$A$31:$B$35,2,TRUE)</f>
        <v/>
      </c>
      <c r="P14">
        <f>VLOOKUP(MIN(Policies!L14,3),ClaimsTable,2,FALSE)</f>
        <v/>
      </c>
      <c r="Q14">
        <f>ROUND(H14*I14*K14*L14*M14*N14*O14*P14,2)</f>
        <v/>
      </c>
      <c r="R14">
        <f>IF(Policies!J14="Y",1,0)</f>
        <v/>
      </c>
      <c r="S14">
        <f>IF(AND(Policies!L14=0,B14&gt;=3),1,0)</f>
        <v/>
      </c>
      <c r="T14">
        <f>IF(B14&lt;=5,1,0)</f>
        <v/>
      </c>
      <c r="U14">
        <f>IF(Policies!K14="Basic",1,0)</f>
        <v/>
      </c>
      <c r="V14">
        <f>IF(Policies!K14="Fortified",1,0)</f>
        <v/>
      </c>
      <c r="W14">
        <f>SUMPRODUCT(R14:V14,CreditPcts)</f>
        <v/>
      </c>
      <c r="X14">
        <f>MIN(W14,CreditCap)</f>
        <v/>
      </c>
      <c r="Y14">
        <f>ROUND(Q14*(1-X14),2)</f>
        <v/>
      </c>
      <c r="Z14">
        <f>IF(Policies!I14="",0.02,Policies!I14)</f>
        <v/>
      </c>
      <c r="AA14">
        <f>IFERROR(VLOOKUP(Z14,HurrDedTable,2,FALSE),1)</f>
        <v/>
      </c>
      <c r="AB14">
        <f>IFERROR(INDEX(RateTables!$L$31:$L$33,MATCH(Policies!K14,RateTables!$K$31:$K$33,0)),1)</f>
        <v/>
      </c>
      <c r="AC14">
        <f>ROUND(F14*D14*J14*AA14*AB14,2)</f>
        <v/>
      </c>
      <c r="AD14">
        <f>MIN(AC14,Policies!G14*HurrCapPct)</f>
        <v/>
      </c>
      <c r="AE14">
        <f>Y14+AD14</f>
        <v/>
      </c>
      <c r="AF14" s="1">
        <f>EDATE(Policies!M14,Policies!N14)</f>
        <v/>
      </c>
      <c r="AG14">
        <f>ROUND(YEARFRAC(Policies!M14,AF14,3),4)</f>
        <v/>
      </c>
      <c r="AH14">
        <f>ROUND(AE14*AG14,2)</f>
        <v/>
      </c>
      <c r="AI14">
        <f>MAX(AH14,MinPremium)</f>
        <v/>
      </c>
      <c r="AJ14">
        <f>ROUNDUP(AI14,0)</f>
        <v/>
      </c>
      <c r="AK14">
        <f>VLOOKUP(Policies!N14,FeeTable,2,FALSE)</f>
        <v/>
      </c>
      <c r="AL14">
        <f>ROUND(AJ14*AssessRate,2)</f>
        <v/>
      </c>
      <c r="AM14">
        <f>ROUND((AJ14+AK14)*G14,2)</f>
        <v/>
      </c>
      <c r="AN14">
        <f>AJ14+AK14+AL14+AM14</f>
        <v/>
      </c>
      <c r="AO14">
        <f>IF(OR(Policies!G14&gt;1000000,C14&gt;20,Policies!L14&gt;=3),"REFER","OK")</f>
        <v/>
      </c>
      <c r="AP14">
        <f>ROUND(AH14/D14,3)</f>
        <v/>
      </c>
      <c r="AQ14">
        <f>Policies!B14&amp;"-"&amp;LEFT(Policies!C14,1)&amp;TEXT(Policies!D14,"00")</f>
        <v/>
      </c>
    </row>
    <row r="15">
      <c r="A15">
        <f>Policies!A15</f>
        <v/>
      </c>
      <c r="B15">
        <f>IFERROR(DATEDIF(DATE(Policies!E15,1,1),Policies!M15,"y"),0)</f>
        <v/>
      </c>
      <c r="C15">
        <f>Policies!F15*1</f>
        <v/>
      </c>
      <c r="D15">
        <f>Policies!G15/1000</f>
        <v/>
      </c>
      <c r="E15">
        <f>VLOOKUP(Policies!B15,BaseRates,2,FALSE)</f>
        <v/>
      </c>
      <c r="F15">
        <f>VLOOKUP(Policies!B15,BaseRates,3,FALSE)</f>
        <v/>
      </c>
      <c r="G15">
        <f>VLOOKUP(Policies!B15,BaseRates,4,FALSE)</f>
        <v/>
      </c>
      <c r="H15">
        <f>ROUND(E15*D15,2)</f>
        <v/>
      </c>
      <c r="I15">
        <f>INDEX(RateTables!$B$13:$B$16,MATCH(Policies!C15,RateTables!$A$13:$A$16,0))</f>
        <v/>
      </c>
      <c r="J15">
        <f>INDEX(RateTables!$C$13:$C$16,MATCH(Policies!C15,RateTables!$A$13:$A$16,0))</f>
        <v/>
      </c>
      <c r="K15">
        <f>INDEX(RateTables!$B$19:$C$28,MATCH(Policies!D15,RateTables!$A$19:$A$28,0),IF(Policies!C15="Frame",1,2))</f>
        <v/>
      </c>
      <c r="L15">
        <f>VLOOKUP(B15,AgeBands,2,TRUE)</f>
        <v/>
      </c>
      <c r="M15">
        <f>VLOOKUP(C15,RoofBands,2,TRUE)</f>
        <v/>
      </c>
      <c r="N15">
        <f>VLOOKUP(Policies!G15,AOIBands,2,TRUE)</f>
        <v/>
      </c>
      <c r="O15">
        <f>VLOOKUP(Policies!H15,RateTables!$A$31:$B$35,2,TRUE)</f>
        <v/>
      </c>
      <c r="P15">
        <f>VLOOKUP(MIN(Policies!L15,3),ClaimsTable,2,FALSE)</f>
        <v/>
      </c>
      <c r="Q15">
        <f>ROUND(H15*I15*K15*L15*M15*N15*O15*P15,2)</f>
        <v/>
      </c>
      <c r="R15">
        <f>IF(Policies!J15="Y",1,0)</f>
        <v/>
      </c>
      <c r="S15">
        <f>IF(AND(Policies!L15=0,B15&gt;=3),1,0)</f>
        <v/>
      </c>
      <c r="T15">
        <f>IF(B15&lt;=5,1,0)</f>
        <v/>
      </c>
      <c r="U15">
        <f>IF(Policies!K15="Basic",1,0)</f>
        <v/>
      </c>
      <c r="V15">
        <f>IF(Policies!K15="Fortified",1,0)</f>
        <v/>
      </c>
      <c r="W15">
        <f>SUMPRODUCT(R15:V15,CreditPcts)</f>
        <v/>
      </c>
      <c r="X15">
        <f>MIN(W15,CreditCap)</f>
        <v/>
      </c>
      <c r="Y15">
        <f>ROUND(Q15*(1-X15),2)</f>
        <v/>
      </c>
      <c r="Z15">
        <f>IF(Policies!I15="",0.02,Policies!I15)</f>
        <v/>
      </c>
      <c r="AA15">
        <f>IFERROR(VLOOKUP(Z15,HurrDedTable,2,FALSE),1)</f>
        <v/>
      </c>
      <c r="AB15">
        <f>IFERROR(INDEX(RateTables!$L$31:$L$33,MATCH(Policies!K15,RateTables!$K$31:$K$33,0)),1)</f>
        <v/>
      </c>
      <c r="AC15">
        <f>ROUND(F15*D15*J15*AA15*AB15,2)</f>
        <v/>
      </c>
      <c r="AD15">
        <f>MIN(AC15,Policies!G15*HurrCapPct)</f>
        <v/>
      </c>
      <c r="AE15">
        <f>Y15+AD15</f>
        <v/>
      </c>
      <c r="AF15" s="1">
        <f>EDATE(Policies!M15,Policies!N15)</f>
        <v/>
      </c>
      <c r="AG15">
        <f>ROUND(YEARFRAC(Policies!M15,AF15,3),4)</f>
        <v/>
      </c>
      <c r="AH15">
        <f>ROUND(AE15*AG15,2)</f>
        <v/>
      </c>
      <c r="AI15">
        <f>MAX(AH15,MinPremium)</f>
        <v/>
      </c>
      <c r="AJ15">
        <f>ROUNDUP(AI15,0)</f>
        <v/>
      </c>
      <c r="AK15">
        <f>VLOOKUP(Policies!N15,FeeTable,2,FALSE)</f>
        <v/>
      </c>
      <c r="AL15">
        <f>ROUND(AJ15*AssessRate,2)</f>
        <v/>
      </c>
      <c r="AM15">
        <f>ROUND((AJ15+AK15)*G15,2)</f>
        <v/>
      </c>
      <c r="AN15">
        <f>AJ15+AK15+AL15+AM15</f>
        <v/>
      </c>
      <c r="AO15">
        <f>IF(OR(Policies!G15&gt;1000000,C15&gt;20,Policies!L15&gt;=3),"REFER","OK")</f>
        <v/>
      </c>
      <c r="AP15">
        <f>ROUND(AH15/D15,3)</f>
        <v/>
      </c>
      <c r="AQ15">
        <f>Policies!B15&amp;"-"&amp;LEFT(Policies!C15,1)&amp;TEXT(Policies!D15,"00")</f>
        <v/>
      </c>
    </row>
    <row r="16">
      <c r="A16">
        <f>Policies!A16</f>
        <v/>
      </c>
      <c r="B16">
        <f>IFERROR(DATEDIF(DATE(Policies!E16,1,1),Policies!M16,"y"),0)</f>
        <v/>
      </c>
      <c r="C16">
        <f>Policies!F16*1</f>
        <v/>
      </c>
      <c r="D16">
        <f>Policies!G16/1000</f>
        <v/>
      </c>
      <c r="E16">
        <f>VLOOKUP(Policies!B16,BaseRates,2,FALSE)</f>
        <v/>
      </c>
      <c r="F16">
        <f>VLOOKUP(Policies!B16,BaseRates,3,FALSE)</f>
        <v/>
      </c>
      <c r="G16">
        <f>VLOOKUP(Policies!B16,BaseRates,4,FALSE)</f>
        <v/>
      </c>
      <c r="H16">
        <f>ROUND(E16*D16,2)</f>
        <v/>
      </c>
      <c r="I16">
        <f>INDEX(RateTables!$B$13:$B$16,MATCH(Policies!C16,RateTables!$A$13:$A$16,0))</f>
        <v/>
      </c>
      <c r="J16">
        <f>INDEX(RateTables!$C$13:$C$16,MATCH(Policies!C16,RateTables!$A$13:$A$16,0))</f>
        <v/>
      </c>
      <c r="K16">
        <f>INDEX(RateTables!$B$19:$C$28,MATCH(Policies!D16,RateTables!$A$19:$A$28,0),IF(Policies!C16="Frame",1,2))</f>
        <v/>
      </c>
      <c r="L16">
        <f>VLOOKUP(B16,AgeBands,2,TRUE)</f>
        <v/>
      </c>
      <c r="M16">
        <f>VLOOKUP(C16,RoofBands,2,TRUE)</f>
        <v/>
      </c>
      <c r="N16">
        <f>VLOOKUP(Policies!G16,AOIBands,2,TRUE)</f>
        <v/>
      </c>
      <c r="O16">
        <f>VLOOKUP(Policies!H16,RateTables!$A$31:$B$35,2,TRUE)</f>
        <v/>
      </c>
      <c r="P16">
        <f>VLOOKUP(MIN(Policies!L16,3),ClaimsTable,2,FALSE)</f>
        <v/>
      </c>
      <c r="Q16">
        <f>ROUND(H16*I16*K16*L16*M16*N16*O16*P16,2)</f>
        <v/>
      </c>
      <c r="R16">
        <f>IF(Policies!J16="Y",1,0)</f>
        <v/>
      </c>
      <c r="S16">
        <f>IF(AND(Policies!L16=0,B16&gt;=3),1,0)</f>
        <v/>
      </c>
      <c r="T16">
        <f>IF(B16&lt;=5,1,0)</f>
        <v/>
      </c>
      <c r="U16">
        <f>IF(Policies!K16="Basic",1,0)</f>
        <v/>
      </c>
      <c r="V16">
        <f>IF(Policies!K16="Fortified",1,0)</f>
        <v/>
      </c>
      <c r="W16">
        <f>SUMPRODUCT(R16:V16,CreditPcts)</f>
        <v/>
      </c>
      <c r="X16">
        <f>MIN(W16,CreditCap)</f>
        <v/>
      </c>
      <c r="Y16">
        <f>ROUND(Q16*(1-X16),2)</f>
        <v/>
      </c>
      <c r="Z16">
        <f>IF(Policies!I16="",0.02,Policies!I16)</f>
        <v/>
      </c>
      <c r="AA16">
        <f>IFERROR(VLOOKUP(Z16,HurrDedTable,2,FALSE),1)</f>
        <v/>
      </c>
      <c r="AB16">
        <f>IFERROR(INDEX(RateTables!$L$31:$L$33,MATCH(Policies!K16,RateTables!$K$31:$K$33,0)),1)</f>
        <v/>
      </c>
      <c r="AC16">
        <f>ROUND(F16*D16*J16*AA16*AB16,2)</f>
        <v/>
      </c>
      <c r="AD16">
        <f>MIN(AC16,Policies!G16*HurrCapPct)</f>
        <v/>
      </c>
      <c r="AE16">
        <f>Y16+AD16</f>
        <v/>
      </c>
      <c r="AF16" s="1">
        <f>EDATE(Policies!M16,Policies!N16)</f>
        <v/>
      </c>
      <c r="AG16">
        <f>ROUND(YEARFRAC(Policies!M16,AF16,3),4)</f>
        <v/>
      </c>
      <c r="AH16">
        <f>ROUND(AE16*AG16,2)</f>
        <v/>
      </c>
      <c r="AI16">
        <f>MAX(AH16,MinPremium)</f>
        <v/>
      </c>
      <c r="AJ16">
        <f>ROUNDUP(AI16,0)</f>
        <v/>
      </c>
      <c r="AK16">
        <f>VLOOKUP(Policies!N16,FeeTable,2,FALSE)</f>
        <v/>
      </c>
      <c r="AL16">
        <f>ROUND(AJ16*AssessRate,2)</f>
        <v/>
      </c>
      <c r="AM16">
        <f>ROUND((AJ16+AK16)*G16,2)</f>
        <v/>
      </c>
      <c r="AN16">
        <f>AJ16+AK16+AL16+AM16</f>
        <v/>
      </c>
      <c r="AO16">
        <f>IF(OR(Policies!G16&gt;1000000,C16&gt;20,Policies!L16&gt;=3),"REFER","OK")</f>
        <v/>
      </c>
      <c r="AP16">
        <f>ROUND(AH16/D16,3)</f>
        <v/>
      </c>
      <c r="AQ16">
        <f>Policies!B16&amp;"-"&amp;LEFT(Policies!C16,1)&amp;TEXT(Policies!D16,"00")</f>
        <v/>
      </c>
    </row>
    <row r="17">
      <c r="A17">
        <f>Policies!A17</f>
        <v/>
      </c>
      <c r="B17">
        <f>IFERROR(DATEDIF(DATE(Policies!E17,1,1),Policies!M17,"y"),0)</f>
        <v/>
      </c>
      <c r="C17">
        <f>Policies!F17*1</f>
        <v/>
      </c>
      <c r="D17">
        <f>Policies!G17/1000</f>
        <v/>
      </c>
      <c r="E17">
        <f>VLOOKUP(Policies!B17,BaseRates,2,FALSE)</f>
        <v/>
      </c>
      <c r="F17">
        <f>VLOOKUP(Policies!B17,BaseRates,3,FALSE)</f>
        <v/>
      </c>
      <c r="G17">
        <f>VLOOKUP(Policies!B17,BaseRates,4,FALSE)</f>
        <v/>
      </c>
      <c r="H17">
        <f>ROUND(E17*D17,2)</f>
        <v/>
      </c>
      <c r="I17">
        <f>INDEX(RateTables!$B$13:$B$16,MATCH(Policies!C17,RateTables!$A$13:$A$16,0))</f>
        <v/>
      </c>
      <c r="J17">
        <f>INDEX(RateTables!$C$13:$C$16,MATCH(Policies!C17,RateTables!$A$13:$A$16,0))</f>
        <v/>
      </c>
      <c r="K17">
        <f>INDEX(RateTables!$B$19:$C$28,MATCH(Policies!D17,RateTables!$A$19:$A$28,0),IF(Policies!C17="Frame",1,2))</f>
        <v/>
      </c>
      <c r="L17">
        <f>VLOOKUP(B17,AgeBands,2,TRUE)</f>
        <v/>
      </c>
      <c r="M17">
        <f>VLOOKUP(C17,RoofBands,2,TRUE)</f>
        <v/>
      </c>
      <c r="N17">
        <f>VLOOKUP(Policies!G17,AOIBands,2,TRUE)</f>
        <v/>
      </c>
      <c r="O17">
        <f>VLOOKUP(Policies!H17,RateTables!$A$31:$B$35,2,TRUE)</f>
        <v/>
      </c>
      <c r="P17">
        <f>VLOOKUP(MIN(Policies!L17,3),ClaimsTable,2,FALSE)</f>
        <v/>
      </c>
      <c r="Q17">
        <f>ROUND(H17*I17*K17*L17*M17*N17*O17*P17,2)</f>
        <v/>
      </c>
      <c r="R17">
        <f>IF(Policies!J17="Y",1,0)</f>
        <v/>
      </c>
      <c r="S17">
        <f>IF(AND(Policies!L17=0,B17&gt;=3),1,0)</f>
        <v/>
      </c>
      <c r="T17">
        <f>IF(B17&lt;=5,1,0)</f>
        <v/>
      </c>
      <c r="U17">
        <f>IF(Policies!K17="Basic",1,0)</f>
        <v/>
      </c>
      <c r="V17">
        <f>IF(Policies!K17="Fortified",1,0)</f>
        <v/>
      </c>
      <c r="W17">
        <f>SUMPRODUCT(R17:V17,CreditPcts)</f>
        <v/>
      </c>
      <c r="X17">
        <f>MIN(W17,CreditCap)</f>
        <v/>
      </c>
      <c r="Y17">
        <f>ROUND(Q17*(1-X17),2)</f>
        <v/>
      </c>
      <c r="Z17">
        <f>IF(Policies!I17="",0.02,Policies!I17)</f>
        <v/>
      </c>
      <c r="AA17">
        <f>IFERROR(VLOOKUP(Z17,HurrDedTable,2,FALSE),1)</f>
        <v/>
      </c>
      <c r="AB17">
        <f>IFERROR(INDEX(RateTables!$L$31:$L$33,MATCH(Policies!K17,RateTables!$K$31:$K$33,0)),1)</f>
        <v/>
      </c>
      <c r="AC17">
        <f>ROUND(F17*D17*J17*AA17*AB17,2)</f>
        <v/>
      </c>
      <c r="AD17">
        <f>MIN(AC17,Policies!G17*HurrCapPct)</f>
        <v/>
      </c>
      <c r="AE17">
        <f>Y17+AD17</f>
        <v/>
      </c>
      <c r="AF17" s="1">
        <f>EDATE(Policies!M17,Policies!N17)</f>
        <v/>
      </c>
      <c r="AG17">
        <f>ROUND(YEARFRAC(Policies!M17,AF17,3),4)</f>
        <v/>
      </c>
      <c r="AH17">
        <f>ROUND(AE17*AG17,2)</f>
        <v/>
      </c>
      <c r="AI17">
        <f>MAX(AH17,MinPremium)</f>
        <v/>
      </c>
      <c r="AJ17">
        <f>ROUNDUP(AI17,0)</f>
        <v/>
      </c>
      <c r="AK17">
        <f>VLOOKUP(Policies!N17,FeeTable,2,FALSE)</f>
        <v/>
      </c>
      <c r="AL17">
        <f>ROUND(AJ17*AssessRate,2)</f>
        <v/>
      </c>
      <c r="AM17" t="n">
        <v>48.17</v>
      </c>
      <c r="AN17">
        <f>AJ17+AK17+AL17+AM17</f>
        <v/>
      </c>
      <c r="AO17">
        <f>IF(OR(Policies!G17&gt;1000000,C17&gt;20,Policies!L17&gt;=3),"REFER","OK")</f>
        <v/>
      </c>
      <c r="AP17">
        <f>ROUND(AH17/D17,3)</f>
        <v/>
      </c>
      <c r="AQ17">
        <f>Policies!B17&amp;"-"&amp;LEFT(Policies!C17,1)&amp;TEXT(Policies!D17,"00")</f>
        <v/>
      </c>
    </row>
    <row r="18">
      <c r="A18">
        <f>Policies!A18</f>
        <v/>
      </c>
      <c r="B18">
        <f>IFERROR(DATEDIF(DATE(Policies!E18,1,1),Policies!M18,"y"),0)</f>
        <v/>
      </c>
      <c r="C18">
        <f>Policies!F18*1</f>
        <v/>
      </c>
      <c r="D18">
        <f>Policies!G18/1000</f>
        <v/>
      </c>
      <c r="E18">
        <f>VLOOKUP(Policies!B18,BaseRates,2,FALSE)</f>
        <v/>
      </c>
      <c r="F18">
        <f>VLOOKUP(Policies!B18,BaseRates,3,FALSE)</f>
        <v/>
      </c>
      <c r="G18">
        <f>VLOOKUP(Policies!B18,BaseRates,4,FALSE)</f>
        <v/>
      </c>
      <c r="H18">
        <f>ROUND(E18*D18,2)</f>
        <v/>
      </c>
      <c r="I18">
        <f>INDEX(RateTables!$B$13:$B$16,MATCH(Policies!C18,RateTables!$A$13:$A$16,0))</f>
        <v/>
      </c>
      <c r="J18">
        <f>INDEX(RateTables!$C$13:$C$16,MATCH(Policies!C18,RateTables!$A$13:$A$16,0))</f>
        <v/>
      </c>
      <c r="K18">
        <f>INDEX(RateTables!$B$19:$C$28,MATCH(Policies!D18,RateTables!$A$19:$A$28,0),IF(Policies!C18="Frame",1,2))</f>
        <v/>
      </c>
      <c r="L18">
        <f>VLOOKUP(B18,AgeBands,2,TRUE)</f>
        <v/>
      </c>
      <c r="M18">
        <f>VLOOKUP(C18,RoofBands,2,TRUE)</f>
        <v/>
      </c>
      <c r="N18">
        <f>VLOOKUP(Policies!G18,AOIBands,2,TRUE)</f>
        <v/>
      </c>
      <c r="O18">
        <f>VLOOKUP(Policies!H18,RateTables!$A$31:$B$35,2,TRUE)</f>
        <v/>
      </c>
      <c r="P18">
        <f>VLOOKUP(MIN(Policies!L18,3),ClaimsTable,2,FALSE)</f>
        <v/>
      </c>
      <c r="Q18">
        <f>ROUND(H18*I18*K18*L18*M18*N18*O18*P18,2)</f>
        <v/>
      </c>
      <c r="R18">
        <f>IF(Policies!J18="Y",1,0)</f>
        <v/>
      </c>
      <c r="S18">
        <f>IF(AND(Policies!L18=0,B18&gt;=3),1,0)</f>
        <v/>
      </c>
      <c r="T18">
        <f>IF(B18&lt;=5,1,0)</f>
        <v/>
      </c>
      <c r="U18">
        <f>IF(Policies!K18="Basic",1,0)</f>
        <v/>
      </c>
      <c r="V18">
        <f>IF(Policies!K18="Fortified",1,0)</f>
        <v/>
      </c>
      <c r="W18">
        <f>SUMPRODUCT(R18:V18,CreditPcts)</f>
        <v/>
      </c>
      <c r="X18">
        <f>MIN(W18,CreditCap)</f>
        <v/>
      </c>
      <c r="Y18">
        <f>ROUND(Q18*(1-X18),2)</f>
        <v/>
      </c>
      <c r="Z18">
        <f>IF(Policies!I18="",0.02,Policies!I18)</f>
        <v/>
      </c>
      <c r="AA18">
        <f>IFERROR(VLOOKUP(Z18,HurrDedTable,2,FALSE),1)</f>
        <v/>
      </c>
      <c r="AB18">
        <f>IFERROR(INDEX(RateTables!$L$31:$L$33,MATCH(Policies!K18,RateTables!$K$31:$K$33,0)),1)</f>
        <v/>
      </c>
      <c r="AC18">
        <f>ROUND(F18*D18*J18*AA18*AB18,2)</f>
        <v/>
      </c>
      <c r="AD18">
        <f>MIN(AC18,Policies!G18*HurrCapPct)</f>
        <v/>
      </c>
      <c r="AE18">
        <f>Y18+AD18</f>
        <v/>
      </c>
      <c r="AF18" s="1">
        <f>EDATE(Policies!M18,Policies!N18)</f>
        <v/>
      </c>
      <c r="AG18">
        <f>ROUND(YEARFRAC(Policies!M18,AF18,3),4)</f>
        <v/>
      </c>
      <c r="AH18">
        <f>ROUND(AE18*AG18,2)</f>
        <v/>
      </c>
      <c r="AI18">
        <f>MAX(AH18,MinPremium)</f>
        <v/>
      </c>
      <c r="AJ18">
        <f>ROUNDUP(AI18,0)</f>
        <v/>
      </c>
      <c r="AK18">
        <f>VLOOKUP(Policies!N18,FeeTable,2,FALSE)</f>
        <v/>
      </c>
      <c r="AL18">
        <f>ROUND(AJ18*AssessRate,2)</f>
        <v/>
      </c>
      <c r="AM18">
        <f>ROUND((AJ18+AK18)*G18,2)</f>
        <v/>
      </c>
      <c r="AN18">
        <f>AJ18+AK18+AL18+AM18</f>
        <v/>
      </c>
      <c r="AO18">
        <f>IF(OR(Policies!G18&gt;1000000,C18&gt;20,Policies!L18&gt;=3),"REFER","OK")</f>
        <v/>
      </c>
      <c r="AP18">
        <f>ROUND(AH18/D18,3)</f>
        <v/>
      </c>
      <c r="AQ18">
        <f>Policies!B18&amp;"-"&amp;LEFT(Policies!C18,1)&amp;TEXT(Policies!D18,"00")</f>
        <v/>
      </c>
    </row>
    <row r="19">
      <c r="A19">
        <f>Policies!A19</f>
        <v/>
      </c>
      <c r="B19">
        <f>IFERROR(DATEDIF(DATE(Policies!E19,1,1),Policies!M19,"y"),0)</f>
        <v/>
      </c>
      <c r="C19">
        <f>Policies!F19*1</f>
        <v/>
      </c>
      <c r="D19">
        <f>Policies!G19/1000</f>
        <v/>
      </c>
      <c r="E19">
        <f>VLOOKUP(Policies!B19,BaseRates,2,FALSE)</f>
        <v/>
      </c>
      <c r="F19">
        <f>VLOOKUP(Policies!B19,BaseRates,3,FALSE)</f>
        <v/>
      </c>
      <c r="G19">
        <f>VLOOKUP(Policies!B19,BaseRates,4,FALSE)</f>
        <v/>
      </c>
      <c r="H19">
        <f>ROUND(E19*D19,2)</f>
        <v/>
      </c>
      <c r="I19">
        <f>INDEX(RateTables!$B$13:$B$16,MATCH(Policies!C19,RateTables!$A$13:$A$16,0))</f>
        <v/>
      </c>
      <c r="J19">
        <f>INDEX(RateTables!$C$13:$C$16,MATCH(Policies!C19,RateTables!$A$13:$A$16,0))</f>
        <v/>
      </c>
      <c r="K19">
        <f>INDEX(RateTables!$B$19:$C$28,MATCH(Policies!D19,RateTables!$A$19:$A$28,0),IF(Policies!C19="Frame",1,2))</f>
        <v/>
      </c>
      <c r="L19">
        <f>VLOOKUP(B19,AgeBands,2,TRUE)</f>
        <v/>
      </c>
      <c r="M19">
        <f>VLOOKUP(C19,RoofBands,2,TRUE)</f>
        <v/>
      </c>
      <c r="N19">
        <f>VLOOKUP(Policies!G19,AOIBands,2,TRUE)</f>
        <v/>
      </c>
      <c r="O19">
        <f>VLOOKUP(Policies!H19,RateTables!$A$31:$B$35,2,TRUE)</f>
        <v/>
      </c>
      <c r="P19">
        <f>VLOOKUP(MIN(Policies!L19,3),ClaimsTable,2,FALSE)</f>
        <v/>
      </c>
      <c r="Q19">
        <f>ROUND(H19*I19*K19*L19*M19*N19*O19*P19,2)</f>
        <v/>
      </c>
      <c r="R19">
        <f>IF(Policies!J19="Y",1,0)</f>
        <v/>
      </c>
      <c r="S19">
        <f>IF(AND(Policies!L19=0,B19&gt;=3),1,0)</f>
        <v/>
      </c>
      <c r="T19">
        <f>IF(B19&lt;=5,1,0)</f>
        <v/>
      </c>
      <c r="U19">
        <f>IF(Policies!K19="Basic",1,0)</f>
        <v/>
      </c>
      <c r="V19">
        <f>IF(Policies!K19="Fortified",1,0)</f>
        <v/>
      </c>
      <c r="W19">
        <f>SUMPRODUCT(R19:V19,CreditPcts)</f>
        <v/>
      </c>
      <c r="X19">
        <f>MIN(W19,CreditCap)</f>
        <v/>
      </c>
      <c r="Y19">
        <f>ROUND(Q19*(1-X19),2)</f>
        <v/>
      </c>
      <c r="Z19">
        <f>IF(Policies!I19="",0.02,Policies!I19)</f>
        <v/>
      </c>
      <c r="AA19">
        <f>IFERROR(VLOOKUP(Z19,HurrDedTable,2,FALSE),1)</f>
        <v/>
      </c>
      <c r="AB19">
        <f>IFERROR(INDEX(RateTables!$L$31:$L$33,MATCH(Policies!K19,RateTables!$K$31:$K$33,0)),1)</f>
        <v/>
      </c>
      <c r="AC19">
        <f>ROUND(F19*D19*J19*AA19*AB19,2)</f>
        <v/>
      </c>
      <c r="AD19">
        <f>MIN(AC19,Policies!G19*HurrCapPct)</f>
        <v/>
      </c>
      <c r="AE19">
        <f>Y19+AD19</f>
        <v/>
      </c>
      <c r="AF19" s="1">
        <f>EDATE(Policies!M19,Policies!N19)</f>
        <v/>
      </c>
      <c r="AG19">
        <f>ROUND(YEARFRAC(Policies!M19,AF19,3),4)</f>
        <v/>
      </c>
      <c r="AH19">
        <f>ROUND(AE19*AG19,2)</f>
        <v/>
      </c>
      <c r="AI19">
        <f>MAX(AH19,MinPremium)</f>
        <v/>
      </c>
      <c r="AJ19">
        <f>ROUNDUP(AI19,0)</f>
        <v/>
      </c>
      <c r="AK19">
        <f>VLOOKUP(Policies!N19,FeeTable,2,FALSE)</f>
        <v/>
      </c>
      <c r="AL19">
        <f>ROUND(AJ19*AssessRate,2)</f>
        <v/>
      </c>
      <c r="AM19">
        <f>ROUND((AJ19+AK19)*G19,2)</f>
        <v/>
      </c>
      <c r="AN19">
        <f>AJ19+AK19+AL19+AM19</f>
        <v/>
      </c>
      <c r="AO19">
        <f>IF(OR(Policies!G19&gt;1000000,C19&gt;20,Policies!L19&gt;=3),"REFER","OK")</f>
        <v/>
      </c>
      <c r="AP19">
        <f>ROUND(AH19/D19,3)</f>
        <v/>
      </c>
      <c r="AQ19">
        <f>Policies!B19&amp;"-"&amp;LEFT(Policies!C19,1)&amp;TEXT(Policies!D19,"00")</f>
        <v/>
      </c>
    </row>
    <row r="20">
      <c r="A20">
        <f>Policies!A20</f>
        <v/>
      </c>
      <c r="B20">
        <f>IFERROR(DATEDIF(DATE(Policies!E20,1,1),Policies!M20,"y"),0)</f>
        <v/>
      </c>
      <c r="C20">
        <f>Policies!F20*1</f>
        <v/>
      </c>
      <c r="D20">
        <f>Policies!G20/1000</f>
        <v/>
      </c>
      <c r="E20">
        <f>VLOOKUP(Policies!B20,BaseRates,2,FALSE)</f>
        <v/>
      </c>
      <c r="F20">
        <f>VLOOKUP(Policies!B20,BaseRates,3,FALSE)</f>
        <v/>
      </c>
      <c r="G20">
        <f>VLOOKUP(Policies!B20,BaseRates,4,FALSE)</f>
        <v/>
      </c>
      <c r="H20">
        <f>ROUND(E20*D20,2)</f>
        <v/>
      </c>
      <c r="I20">
        <f>INDEX(RateTables!$B$13:$B$16,MATCH(Policies!C20,RateTables!$A$13:$A$16,0))</f>
        <v/>
      </c>
      <c r="J20">
        <f>INDEX(RateTables!$C$13:$C$16,MATCH(Policies!C20,RateTables!$A$13:$A$16,0))</f>
        <v/>
      </c>
      <c r="K20">
        <f>INDEX(RateTables!$B$19:$C$28,MATCH(Policies!D20,RateTables!$A$19:$A$28,0),IF(Policies!C20="Frame",1,2))</f>
        <v/>
      </c>
      <c r="L20">
        <f>VLOOKUP(B20,AgeBands,2,TRUE)</f>
        <v/>
      </c>
      <c r="M20">
        <f>VLOOKUP(C20,RoofBands,2,TRUE)</f>
        <v/>
      </c>
      <c r="N20">
        <f>VLOOKUP(Policies!G20,AOIBands,2,TRUE)</f>
        <v/>
      </c>
      <c r="O20">
        <f>VLOOKUP(Policies!H20,RateTables!$A$31:$B$35,2,TRUE)</f>
        <v/>
      </c>
      <c r="P20">
        <f>VLOOKUP(MIN(Policies!L20,3),ClaimsTable,2,FALSE)</f>
        <v/>
      </c>
      <c r="Q20">
        <f>ROUND(H20*I20*K20*L20*M20*N20*O20*P20,2)</f>
        <v/>
      </c>
      <c r="R20">
        <f>IF(Policies!J20="Y",1,0)</f>
        <v/>
      </c>
      <c r="S20">
        <f>IF(AND(Policies!L20=0,B20&gt;=3),1,0)</f>
        <v/>
      </c>
      <c r="T20">
        <f>IF(B20&lt;=5,1,0)</f>
        <v/>
      </c>
      <c r="U20">
        <f>IF(Policies!K20="Basic",1,0)</f>
        <v/>
      </c>
      <c r="V20">
        <f>IF(Policies!K20="Fortified",1,0)</f>
        <v/>
      </c>
      <c r="W20">
        <f>SUMPRODUCT(R20:V20,CreditPcts)</f>
        <v/>
      </c>
      <c r="X20">
        <f>MIN(W20,CreditCap)</f>
        <v/>
      </c>
      <c r="Y20">
        <f>ROUND(Q20*(1-X20),2)</f>
        <v/>
      </c>
      <c r="Z20">
        <f>IF(Policies!I20="",0.02,Policies!I20)</f>
        <v/>
      </c>
      <c r="AA20">
        <f>IFERROR(VLOOKUP(Z20,HurrDedTable,2,FALSE),1)</f>
        <v/>
      </c>
      <c r="AB20">
        <f>IFERROR(INDEX(RateTables!$L$31:$L$33,MATCH(Policies!K20,RateTables!$K$31:$K$33,0)),1)</f>
        <v/>
      </c>
      <c r="AC20">
        <f>ROUND(F20*D20*J20*AA20*AB20,2)</f>
        <v/>
      </c>
      <c r="AD20">
        <f>MIN(AC20,Policies!G20*HurrCapPct)</f>
        <v/>
      </c>
      <c r="AE20">
        <f>Y20+AD20</f>
        <v/>
      </c>
      <c r="AF20" s="1">
        <f>EDATE(Policies!M20,Policies!N20)</f>
        <v/>
      </c>
      <c r="AG20">
        <f>ROUND(YEARFRAC(Policies!M20,AF20,3),4)</f>
        <v/>
      </c>
      <c r="AH20">
        <f>ROUND(AE20*AG20,2)</f>
        <v/>
      </c>
      <c r="AI20">
        <f>MAX(AH20,MinPremium)</f>
        <v/>
      </c>
      <c r="AJ20">
        <f>ROUNDUP(AI20,0)</f>
        <v/>
      </c>
      <c r="AK20">
        <f>VLOOKUP(Policies!N20,FeeTable,2,FALSE)</f>
        <v/>
      </c>
      <c r="AL20">
        <f>ROUND(AJ20*AssessRate,2)</f>
        <v/>
      </c>
      <c r="AM20">
        <f>ROUND((AJ20+AK20)*G20,2)</f>
        <v/>
      </c>
      <c r="AN20">
        <f>AJ20+AK20+AL20+AM20</f>
        <v/>
      </c>
      <c r="AO20">
        <f>IF(OR(Policies!G20&gt;1000000,C20&gt;20,Policies!L20&gt;=3),"REFER","OK")</f>
        <v/>
      </c>
      <c r="AP20">
        <f>ROUND(AH20/D20,3)</f>
        <v/>
      </c>
      <c r="AQ20">
        <f>Policies!B20&amp;"-"&amp;LEFT(Policies!C20,1)&amp;TEXT(Policies!D20,"00")</f>
        <v/>
      </c>
    </row>
    <row r="21">
      <c r="A21">
        <f>Policies!A21</f>
        <v/>
      </c>
      <c r="B21">
        <f>IFERROR(DATEDIF(DATE(Policies!E21,1,1),Policies!M21,"y"),0)</f>
        <v/>
      </c>
      <c r="C21">
        <f>Policies!F21*1</f>
        <v/>
      </c>
      <c r="D21">
        <f>Policies!G21/1000</f>
        <v/>
      </c>
      <c r="E21">
        <f>VLOOKUP(Policies!B21,BaseRates,2,FALSE)</f>
        <v/>
      </c>
      <c r="F21">
        <f>VLOOKUP(Policies!B21,BaseRates,3,FALSE)</f>
        <v/>
      </c>
      <c r="G21">
        <f>VLOOKUP(Policies!B21,BaseRates,4,FALSE)</f>
        <v/>
      </c>
      <c r="H21">
        <f>ROUND(E21*D21,2)</f>
        <v/>
      </c>
      <c r="I21">
        <f>INDEX(RateTables!$B$13:$B$16,MATCH(Policies!C21,RateTables!$A$13:$A$16,0))</f>
        <v/>
      </c>
      <c r="J21">
        <f>INDEX(RateTables!$C$13:$C$16,MATCH(Policies!C21,RateTables!$A$13:$A$16,0))</f>
        <v/>
      </c>
      <c r="K21">
        <f>INDEX(RateTables!$B$19:$C$28,MATCH(Policies!D21,RateTables!$A$19:$A$28,0),IF(Policies!C21="Frame",1,2))</f>
        <v/>
      </c>
      <c r="L21">
        <f>VLOOKUP(B21,AgeBands,2,TRUE)</f>
        <v/>
      </c>
      <c r="M21">
        <f>VLOOKUP(C21,RoofBands,2,TRUE)</f>
        <v/>
      </c>
      <c r="N21">
        <f>VLOOKUP(Policies!G21,AOIBands,2,TRUE)</f>
        <v/>
      </c>
      <c r="O21">
        <f>VLOOKUP(Policies!H21,RateTables!$A$31:$B$35,2,TRUE)</f>
        <v/>
      </c>
      <c r="P21">
        <f>VLOOKUP(MIN(Policies!L21,3),ClaimsTable,2,FALSE)</f>
        <v/>
      </c>
      <c r="Q21">
        <f>ROUND(H21*I21*K21*L21*M21*N21*O21*P21,2)</f>
        <v/>
      </c>
      <c r="R21">
        <f>IF(Policies!J21="Y",1,0)</f>
        <v/>
      </c>
      <c r="S21">
        <f>IF(AND(Policies!L21=0,B21&gt;=3),1,0)</f>
        <v/>
      </c>
      <c r="T21">
        <f>IF(B21&lt;=5,1,0)</f>
        <v/>
      </c>
      <c r="U21">
        <f>IF(Policies!K21="Basic",1,0)</f>
        <v/>
      </c>
      <c r="V21">
        <f>IF(Policies!K21="Fortified",1,0)</f>
        <v/>
      </c>
      <c r="W21">
        <f>SUMPRODUCT(R21:V21,CreditPcts)</f>
        <v/>
      </c>
      <c r="X21">
        <f>MIN(W21,CreditCap)</f>
        <v/>
      </c>
      <c r="Y21">
        <f>ROUND(Q21*(1-X21),2)</f>
        <v/>
      </c>
      <c r="Z21">
        <f>IF(Policies!I21="",0.02,Policies!I21)</f>
        <v/>
      </c>
      <c r="AA21">
        <f>IFERROR(VLOOKUP(Z21,HurrDedTable,2,FALSE),1)</f>
        <v/>
      </c>
      <c r="AB21">
        <f>IFERROR(INDEX(RateTables!$L$31:$L$33,MATCH(Policies!K21,RateTables!$K$31:$K$33,0)),1)</f>
        <v/>
      </c>
      <c r="AC21">
        <f>ROUND(F21*D21*J21*AA21*AB21,2)</f>
        <v/>
      </c>
      <c r="AD21">
        <f>MIN(AC21,Policies!G21*HurrCapPct)</f>
        <v/>
      </c>
      <c r="AE21">
        <f>Y21+AD21</f>
        <v/>
      </c>
      <c r="AF21" s="1">
        <f>EDATE(Policies!M21,Policies!N21)</f>
        <v/>
      </c>
      <c r="AG21">
        <f>ROUND(YEARFRAC(Policies!M21,AF21,3),4)</f>
        <v/>
      </c>
      <c r="AH21">
        <f>ROUND(AE21*AG21,2)</f>
        <v/>
      </c>
      <c r="AI21">
        <f>MAX(AH21,MinPremium)</f>
        <v/>
      </c>
      <c r="AJ21">
        <f>ROUNDUP(AI21,0)</f>
        <v/>
      </c>
      <c r="AK21">
        <f>VLOOKUP(Policies!N21,FeeTable,2,FALSE)</f>
        <v/>
      </c>
      <c r="AL21">
        <f>ROUND(AJ21*AssessRate,2)</f>
        <v/>
      </c>
      <c r="AM21">
        <f>ROUND((AJ21+AK21)*G21,2)</f>
        <v/>
      </c>
      <c r="AN21">
        <f>AJ21+AK21+AL21+AM21</f>
        <v/>
      </c>
      <c r="AO21">
        <f>IF(OR(Policies!G21&gt;1000000,C21&gt;20,Policies!L21&gt;=3),"REFER","OK")</f>
        <v/>
      </c>
      <c r="AP21">
        <f>ROUND(AH21/D21,3)</f>
        <v/>
      </c>
      <c r="AQ21">
        <f>Policies!B21&amp;"-"&amp;LEFT(Policies!C21,1)&amp;TEXT(Policies!D21,"00")</f>
        <v/>
      </c>
    </row>
    <row r="22">
      <c r="A22">
        <f>Policies!A22</f>
        <v/>
      </c>
      <c r="B22">
        <f>IFERROR(DATEDIF(DATE(Policies!E22,1,1),Policies!M22,"y"),0)</f>
        <v/>
      </c>
      <c r="C22">
        <f>Policies!F22*1</f>
        <v/>
      </c>
      <c r="D22">
        <f>Policies!G22/1000</f>
        <v/>
      </c>
      <c r="E22">
        <f>VLOOKUP(Policies!B22,BaseRates,2,FALSE)</f>
        <v/>
      </c>
      <c r="F22">
        <f>VLOOKUP(Policies!B22,BaseRates,3,FALSE)</f>
        <v/>
      </c>
      <c r="G22">
        <f>VLOOKUP(Policies!B22,BaseRates,4,FALSE)</f>
        <v/>
      </c>
      <c r="H22">
        <f>ROUND(E22*D22,2)</f>
        <v/>
      </c>
      <c r="I22">
        <f>INDEX(RateTables!$B$13:$B$16,MATCH(Policies!C22,RateTables!$A$13:$A$16,0))</f>
        <v/>
      </c>
      <c r="J22">
        <f>INDEX(RateTables!$C$13:$C$16,MATCH(Policies!C22,RateTables!$A$13:$A$16,0))</f>
        <v/>
      </c>
      <c r="K22">
        <f>INDEX(RateTables!$B$19:$C$28,MATCH(Policies!D22,RateTables!$A$19:$A$28,0),IF(Policies!C22="Frame",1,2))</f>
        <v/>
      </c>
      <c r="L22">
        <f>VLOOKUP(B22,AgeBands,2,TRUE)</f>
        <v/>
      </c>
      <c r="M22">
        <f>VLOOKUP(C22,RoofBands,2,TRUE)</f>
        <v/>
      </c>
      <c r="N22">
        <f>VLOOKUP(Policies!G22,AOIBands,2,TRUE)</f>
        <v/>
      </c>
      <c r="O22">
        <f>VLOOKUP(Policies!H22,RateTables!$A$31:$B$35,2,TRUE)</f>
        <v/>
      </c>
      <c r="P22">
        <f>VLOOKUP(MIN(Policies!L22,3),ClaimsTable,2,FALSE)</f>
        <v/>
      </c>
      <c r="Q22">
        <f>ROUND(H22*I22*K22*L22*M22*N22*O22*P22,2)</f>
        <v/>
      </c>
      <c r="R22">
        <f>IF(Policies!J22="Y",1,0)</f>
        <v/>
      </c>
      <c r="S22">
        <f>IF(AND(Policies!L22=0,B22&gt;=3),1,0)</f>
        <v/>
      </c>
      <c r="T22">
        <f>IF(B22&lt;=5,1,0)</f>
        <v/>
      </c>
      <c r="U22">
        <f>IF(Policies!K22="Basic",1,0)</f>
        <v/>
      </c>
      <c r="V22">
        <f>IF(Policies!K22="Fortified",1,0)</f>
        <v/>
      </c>
      <c r="W22">
        <f>SUMPRODUCT(R22:V22,CreditPcts)</f>
        <v/>
      </c>
      <c r="X22">
        <f>MIN(W22,CreditCap)</f>
        <v/>
      </c>
      <c r="Y22">
        <f>ROUND(Q22*(1-X22),2)</f>
        <v/>
      </c>
      <c r="Z22">
        <f>IF(Policies!I22="",0.02,Policies!I22)</f>
        <v/>
      </c>
      <c r="AA22">
        <f>IFERROR(VLOOKUP(Z22,HurrDedTable,2,FALSE),1)</f>
        <v/>
      </c>
      <c r="AB22">
        <f>IFERROR(INDEX(RateTables!$L$31:$L$33,MATCH(Policies!K22,RateTables!$K$31:$K$33,0)),1)</f>
        <v/>
      </c>
      <c r="AC22">
        <f>ROUND(F22*D22*J22*AA22*AB22,2)</f>
        <v/>
      </c>
      <c r="AD22">
        <f>MIN(AC22,Policies!G22*HurrCapPct)</f>
        <v/>
      </c>
      <c r="AE22">
        <f>Y22+AD22</f>
        <v/>
      </c>
      <c r="AF22" s="1">
        <f>EDATE(Policies!M22,Policies!N22)</f>
        <v/>
      </c>
      <c r="AG22">
        <f>ROUND(YEARFRAC(Policies!M22,AF22,3),4)</f>
        <v/>
      </c>
      <c r="AH22">
        <f>ROUND(AE22*AG22,2)</f>
        <v/>
      </c>
      <c r="AI22">
        <f>MAX(AH22,MinPremium)</f>
        <v/>
      </c>
      <c r="AJ22">
        <f>ROUNDUP(AI22,0)</f>
        <v/>
      </c>
      <c r="AK22">
        <f>VLOOKUP(Policies!N22,FeeTable,2,FALSE)</f>
        <v/>
      </c>
      <c r="AL22">
        <f>ROUND(AJ22*AssessRate,2)</f>
        <v/>
      </c>
      <c r="AM22">
        <f>ROUND((AJ22+AK22)*G22,2)</f>
        <v/>
      </c>
      <c r="AN22">
        <f>AJ22+AK22+AL22+AM22</f>
        <v/>
      </c>
      <c r="AO22">
        <f>IF(OR(Policies!G22&gt;1000000,C22&gt;20,Policies!L22&gt;=3),"REFER","OK")</f>
        <v/>
      </c>
      <c r="AP22">
        <f>ROUND(AH22/D22,3)</f>
        <v/>
      </c>
      <c r="AQ22">
        <f>Policies!B22&amp;"-"&amp;LEFT(Policies!C22,1)&amp;TEXT(Policies!D22,"00")</f>
        <v/>
      </c>
    </row>
    <row r="23">
      <c r="A23">
        <f>Policies!A23</f>
        <v/>
      </c>
      <c r="B23">
        <f>IFERROR(DATEDIF(DATE(Policies!E23,1,1),Policies!M23,"y"),0)</f>
        <v/>
      </c>
      <c r="C23">
        <f>Policies!F23*1</f>
        <v/>
      </c>
      <c r="D23">
        <f>Policies!G23/1000</f>
        <v/>
      </c>
      <c r="E23">
        <f>VLOOKUP(Policies!B23,BaseRates,2,FALSE)</f>
        <v/>
      </c>
      <c r="F23">
        <f>VLOOKUP(Policies!B23,BaseRates,3,FALSE)</f>
        <v/>
      </c>
      <c r="G23">
        <f>VLOOKUP(Policies!B23,BaseRates,4,FALSE)</f>
        <v/>
      </c>
      <c r="H23">
        <f>ROUND(E23*D23,2)</f>
        <v/>
      </c>
      <c r="I23">
        <f>INDEX(RateTables!$B$13:$B$16,MATCH(Policies!C23,RateTables!$A$13:$A$16,0))</f>
        <v/>
      </c>
      <c r="J23">
        <f>INDEX(RateTables!$C$13:$C$16,MATCH(Policies!C23,RateTables!$A$13:$A$16,0))</f>
        <v/>
      </c>
      <c r="K23">
        <f>INDEX(RateTables!$B$19:$C$28,MATCH(Policies!D23,RateTables!$A$19:$A$28,0),IF(Policies!C23="Frame",1,2))</f>
        <v/>
      </c>
      <c r="L23">
        <f>VLOOKUP(B23,AgeBands,2,TRUE)</f>
        <v/>
      </c>
      <c r="M23">
        <f>VLOOKUP(C23,RoofBands,2,TRUE)</f>
        <v/>
      </c>
      <c r="N23">
        <f>VLOOKUP(Policies!G23,AOIBands,2,TRUE)</f>
        <v/>
      </c>
      <c r="O23">
        <f>VLOOKUP(Policies!H23,RateTables!$A$31:$B$35,2,TRUE)</f>
        <v/>
      </c>
      <c r="P23">
        <f>VLOOKUP(MIN(Policies!L23,3),ClaimsTable,2,FALSE)</f>
        <v/>
      </c>
      <c r="Q23">
        <f>ROUND(H23*I23*K23*L23*M23*N23*O23*P23,2)</f>
        <v/>
      </c>
      <c r="R23">
        <f>IF(Policies!J23="Y",1,0)</f>
        <v/>
      </c>
      <c r="S23">
        <f>IF(AND(Policies!L23=0,B23&gt;=3),1,0)</f>
        <v/>
      </c>
      <c r="T23">
        <f>IF(B23&lt;=5,1,0)</f>
        <v/>
      </c>
      <c r="U23">
        <f>IF(Policies!K23="Basic",1,0)</f>
        <v/>
      </c>
      <c r="V23">
        <f>IF(Policies!K23="Fortified",1,0)</f>
        <v/>
      </c>
      <c r="W23">
        <f>SUMPRODUCT(R23:V23,CreditPcts)</f>
        <v/>
      </c>
      <c r="X23">
        <f>MIN(W23,CreditCap)</f>
        <v/>
      </c>
      <c r="Y23">
        <f>ROUND(Q23*(1-X23),2)</f>
        <v/>
      </c>
      <c r="Z23">
        <f>IF(Policies!I23="",0.02,Policies!I23)</f>
        <v/>
      </c>
      <c r="AA23">
        <f>IFERROR(VLOOKUP(Z23,HurrDedTable,2,FALSE),1)</f>
        <v/>
      </c>
      <c r="AB23">
        <f>IFERROR(INDEX(RateTables!$L$31:$L$33,MATCH(Policies!K23,RateTables!$K$31:$K$33,0)),1)</f>
        <v/>
      </c>
      <c r="AC23">
        <f>ROUND(F23*D23*J23*AA23*AB23,2)</f>
        <v/>
      </c>
      <c r="AD23">
        <f>MIN(AC23,Policies!G23*HurrCapPct)</f>
        <v/>
      </c>
      <c r="AE23">
        <f>Y23+AD23</f>
        <v/>
      </c>
      <c r="AF23" s="1">
        <f>EDATE(Policies!M23,Policies!N23)</f>
        <v/>
      </c>
      <c r="AG23">
        <f>ROUND(YEARFRAC(Policies!M23,AF23,3),4)</f>
        <v/>
      </c>
      <c r="AH23">
        <f>ROUND(AE23*AG23,2)</f>
        <v/>
      </c>
      <c r="AI23">
        <f>MAX(AH23,MinPremium)</f>
        <v/>
      </c>
      <c r="AJ23">
        <f>ROUNDUP(AI23,0)</f>
        <v/>
      </c>
      <c r="AK23">
        <f>VLOOKUP(Policies!N23,FeeTable,2,FALSE)</f>
        <v/>
      </c>
      <c r="AL23">
        <f>ROUND(AJ23*AssessRate,2)</f>
        <v/>
      </c>
      <c r="AM23">
        <f>ROUND((AJ23+AK23)*G23,2)</f>
        <v/>
      </c>
      <c r="AN23">
        <f>AJ23+AK23+AL23+AM23</f>
        <v/>
      </c>
      <c r="AO23">
        <f>IF(OR(Policies!G23&gt;1000000,C23&gt;20,Policies!L23&gt;=3),"REFER","OK")</f>
        <v/>
      </c>
      <c r="AP23">
        <f>ROUND(AH23/D23,3)</f>
        <v/>
      </c>
      <c r="AQ23">
        <f>Policies!B23&amp;"-"&amp;LEFT(Policies!C23,1)&amp;TEXT(Policies!D23,"00")</f>
        <v/>
      </c>
    </row>
    <row r="24">
      <c r="A24">
        <f>Policies!A24</f>
        <v/>
      </c>
      <c r="B24">
        <f>IFERROR(DATEDIF(DATE(Policies!E24,1,1),Policies!M24,"y"),0)</f>
        <v/>
      </c>
      <c r="C24">
        <f>Policies!F24*1</f>
        <v/>
      </c>
      <c r="D24">
        <f>Policies!G24/1000</f>
        <v/>
      </c>
      <c r="E24">
        <f>VLOOKUP(Policies!B24,BaseRates,2,FALSE)</f>
        <v/>
      </c>
      <c r="F24">
        <f>VLOOKUP(Policies!B24,BaseRates,3,FALSE)</f>
        <v/>
      </c>
      <c r="G24">
        <f>VLOOKUP(Policies!B24,BaseRates,4,FALSE)</f>
        <v/>
      </c>
      <c r="H24">
        <f>ROUND(E24*D24,2)</f>
        <v/>
      </c>
      <c r="I24">
        <f>INDEX(RateTables!$B$13:$B$16,MATCH(Policies!C24,RateTables!$A$13:$A$16,0))</f>
        <v/>
      </c>
      <c r="J24">
        <f>INDEX(RateTables!$C$13:$C$16,MATCH(Policies!C24,RateTables!$A$13:$A$16,0))</f>
        <v/>
      </c>
      <c r="K24">
        <f>INDEX(RateTables!$B$19:$C$28,MATCH(Policies!D24,RateTables!$A$19:$A$28,0),IF(Policies!C24="Frame",1,2))</f>
        <v/>
      </c>
      <c r="L24">
        <f>VLOOKUP(B24,AgeBands,2,TRUE)</f>
        <v/>
      </c>
      <c r="M24">
        <f>VLOOKUP(C24,RoofBands,2,TRUE)</f>
        <v/>
      </c>
      <c r="N24">
        <f>VLOOKUP(Policies!G24,AOIBands,2,TRUE)</f>
        <v/>
      </c>
      <c r="O24">
        <f>VLOOKUP(Policies!H24,RateTables!$A$31:$B$35,2,TRUE)</f>
        <v/>
      </c>
      <c r="P24">
        <f>VLOOKUP(MIN(Policies!L24,3),ClaimsTable,2,FALSE)</f>
        <v/>
      </c>
      <c r="Q24">
        <f>ROUND(H24*I24*K24*L24*M24*N24*O24*P24,2)</f>
        <v/>
      </c>
      <c r="R24">
        <f>IF(Policies!J24="Y",1,0)</f>
        <v/>
      </c>
      <c r="S24">
        <f>IF(AND(Policies!L24=0,B24&gt;=3),1,0)</f>
        <v/>
      </c>
      <c r="T24">
        <f>IF(B24&lt;=5,1,0)</f>
        <v/>
      </c>
      <c r="U24">
        <f>IF(Policies!K24="Basic",1,0)</f>
        <v/>
      </c>
      <c r="V24">
        <f>IF(Policies!K24="Fortified",1,0)</f>
        <v/>
      </c>
      <c r="W24">
        <f>SUMPRODUCT(R24:V24,CreditPcts)</f>
        <v/>
      </c>
      <c r="X24">
        <f>MIN(W24,CreditCap)</f>
        <v/>
      </c>
      <c r="Y24">
        <f>ROUND(Q24*(1-X24),2)</f>
        <v/>
      </c>
      <c r="Z24">
        <f>IF(Policies!I24="",0.02,Policies!I24)</f>
        <v/>
      </c>
      <c r="AA24">
        <f>IFERROR(VLOOKUP(Z24,HurrDedTable,2,FALSE),1)</f>
        <v/>
      </c>
      <c r="AB24">
        <f>IFERROR(INDEX(RateTables!$L$31:$L$33,MATCH(Policies!K24,RateTables!$K$31:$K$33,0)),1)</f>
        <v/>
      </c>
      <c r="AC24">
        <f>ROUND(F24*D24*J24*AA24*AB24,2)</f>
        <v/>
      </c>
      <c r="AD24">
        <f>MIN(AC24,Policies!G24*HurrCapPct)</f>
        <v/>
      </c>
      <c r="AE24">
        <f>Y24+AD24</f>
        <v/>
      </c>
      <c r="AF24" s="1">
        <f>EDATE(Policies!M24,Policies!N24)</f>
        <v/>
      </c>
      <c r="AG24">
        <f>ROUND(YEARFRAC(Policies!M24,AF24,3),4)</f>
        <v/>
      </c>
      <c r="AH24">
        <f>ROUND(AE24*AG24,2)</f>
        <v/>
      </c>
      <c r="AI24">
        <f>MAX(AH24,MinPremium)</f>
        <v/>
      </c>
      <c r="AJ24">
        <f>ROUNDUP(AI24,0)</f>
        <v/>
      </c>
      <c r="AK24">
        <f>VLOOKUP(Policies!N24,FeeTable,2,FALSE)</f>
        <v/>
      </c>
      <c r="AL24">
        <f>ROUND(AJ24*AssessRate,2)</f>
        <v/>
      </c>
      <c r="AM24">
        <f>ROUND((AJ24+AK24)*G24,2)</f>
        <v/>
      </c>
      <c r="AN24">
        <f>AJ24+AK24+AL24+AM24</f>
        <v/>
      </c>
      <c r="AO24">
        <f>IF(OR(Policies!G24&gt;1000000,C24&gt;20,Policies!L24&gt;=3),"REFER","OK")</f>
        <v/>
      </c>
      <c r="AP24">
        <f>ROUND(AH24/D24,3)</f>
        <v/>
      </c>
      <c r="AQ24">
        <f>Policies!B24&amp;"-"&amp;LEFT(Policies!C24,1)&amp;TEXT(Policies!D24,"00")</f>
        <v/>
      </c>
    </row>
    <row r="25">
      <c r="A25">
        <f>Policies!A25</f>
        <v/>
      </c>
      <c r="B25">
        <f>IFERROR(DATEDIF(DATE(Policies!E25,1,1),Policies!M25,"y"),0)</f>
        <v/>
      </c>
      <c r="C25">
        <f>Policies!F25*1</f>
        <v/>
      </c>
      <c r="D25">
        <f>Policies!G25/1000</f>
        <v/>
      </c>
      <c r="E25">
        <f>VLOOKUP(Policies!B25,BaseRates,2,FALSE)</f>
        <v/>
      </c>
      <c r="F25">
        <f>VLOOKUP(Policies!B25,BaseRates,3,FALSE)</f>
        <v/>
      </c>
      <c r="G25">
        <f>VLOOKUP(Policies!B25,BaseRates,4,FALSE)</f>
        <v/>
      </c>
      <c r="H25">
        <f>ROUND(E25*D25,2)</f>
        <v/>
      </c>
      <c r="I25">
        <f>INDEX(RateTables!$B$13:$B$16,MATCH(Policies!C25,RateTables!$A$13:$A$16,0))</f>
        <v/>
      </c>
      <c r="J25">
        <f>INDEX(RateTables!$C$13:$C$16,MATCH(Policies!C25,RateTables!$A$13:$A$16,0))</f>
        <v/>
      </c>
      <c r="K25">
        <f>INDEX(RateTables!$B$19:$C$28,MATCH(Policies!D25,RateTables!$A$19:$A$28,0),IF(Policies!C25="Frame",1,2))</f>
        <v/>
      </c>
      <c r="L25">
        <f>VLOOKUP(B25,AgeBands,2,TRUE)</f>
        <v/>
      </c>
      <c r="M25">
        <f>VLOOKUP(C25,RoofBands,2,TRUE)</f>
        <v/>
      </c>
      <c r="N25">
        <f>VLOOKUP(Policies!G25,AOIBands,2,TRUE)</f>
        <v/>
      </c>
      <c r="O25">
        <f>VLOOKUP(Policies!H25,RateTables!$A$31:$B$35,2,TRUE)</f>
        <v/>
      </c>
      <c r="P25">
        <f>VLOOKUP(MIN(Policies!L25,3),ClaimsTable,2,FALSE)</f>
        <v/>
      </c>
      <c r="Q25">
        <f>ROUND(H25*I25*K25*L25*M25*N25*O25*P25,2)</f>
        <v/>
      </c>
      <c r="R25">
        <f>IF(Policies!J25="Y",1,0)</f>
        <v/>
      </c>
      <c r="S25">
        <f>IF(AND(Policies!L25=0,B25&gt;=3),1,0)</f>
        <v/>
      </c>
      <c r="T25">
        <f>IF(B25&lt;=5,1,0)</f>
        <v/>
      </c>
      <c r="U25">
        <f>IF(Policies!K25="Basic",1,0)</f>
        <v/>
      </c>
      <c r="V25">
        <f>IF(Policies!K25="Fortified",1,0)</f>
        <v/>
      </c>
      <c r="W25">
        <f>SUMPRODUCT(R25:V25,CreditPcts)</f>
        <v/>
      </c>
      <c r="X25">
        <f>MIN(W25,CreditCap)</f>
        <v/>
      </c>
      <c r="Y25">
        <f>ROUND(Q25*(1-X25),2)</f>
        <v/>
      </c>
      <c r="Z25">
        <f>IF(Policies!I25="",0.02,Policies!I25)</f>
        <v/>
      </c>
      <c r="AA25">
        <f>IFERROR(VLOOKUP(Z25,HurrDedTable,2,FALSE),1)</f>
        <v/>
      </c>
      <c r="AB25">
        <f>IFERROR(INDEX(RateTables!$L$31:$L$33,MATCH(Policies!K25,RateTables!$K$31:$K$33,0)),1)</f>
        <v/>
      </c>
      <c r="AC25">
        <f>ROUND(F25*D25*J25*AA25*AB25,2)</f>
        <v/>
      </c>
      <c r="AD25">
        <f>MIN(AC25,Policies!G25*HurrCapPct)</f>
        <v/>
      </c>
      <c r="AE25">
        <f>Y25+AD25</f>
        <v/>
      </c>
      <c r="AF25" s="1">
        <f>EDATE(Policies!M25,Policies!N25)</f>
        <v/>
      </c>
      <c r="AG25">
        <f>ROUND(YEARFRAC(Policies!M25,AF25,3),4)</f>
        <v/>
      </c>
      <c r="AH25">
        <f>ROUND(AE25*AG25,2)</f>
        <v/>
      </c>
      <c r="AI25">
        <f>MAX(AH25,MinPremium)</f>
        <v/>
      </c>
      <c r="AJ25">
        <f>ROUNDUP(AI25,0)</f>
        <v/>
      </c>
      <c r="AK25">
        <f>VLOOKUP(Policies!N25,FeeTable,2,FALSE)</f>
        <v/>
      </c>
      <c r="AL25">
        <f>ROUND(AJ25*AssessRate,2)</f>
        <v/>
      </c>
      <c r="AM25">
        <f>ROUND((AJ25+AK25)*G25,2)</f>
        <v/>
      </c>
      <c r="AN25">
        <f>AJ25+AK25+AL25+AM25</f>
        <v/>
      </c>
      <c r="AO25">
        <f>IF(OR(Policies!G25&gt;1000000,C25&gt;20,Policies!L25&gt;=3),"REFER","OK")</f>
        <v/>
      </c>
      <c r="AP25">
        <f>ROUND(AH25/D25,3)</f>
        <v/>
      </c>
      <c r="AQ25">
        <f>Policies!B25&amp;"-"&amp;LEFT(Policies!C25,1)&amp;TEXT(Policies!D25,"00")</f>
        <v/>
      </c>
    </row>
    <row r="26">
      <c r="A26">
        <f>Policies!A26</f>
        <v/>
      </c>
      <c r="B26">
        <f>IFERROR(DATEDIF(DATE(Policies!E26,1,1),Policies!M26,"y"),0)</f>
        <v/>
      </c>
      <c r="C26">
        <f>Policies!F26*1</f>
        <v/>
      </c>
      <c r="D26">
        <f>Policies!G26/1000</f>
        <v/>
      </c>
      <c r="E26">
        <f>VLOOKUP(Policies!B26,BaseRates,2,FALSE)</f>
        <v/>
      </c>
      <c r="F26">
        <f>VLOOKUP(Policies!B26,BaseRates,3,FALSE)</f>
        <v/>
      </c>
      <c r="G26">
        <f>VLOOKUP(Policies!B26,BaseRates,4,FALSE)</f>
        <v/>
      </c>
      <c r="H26">
        <f>ROUND(E26*D26,2)</f>
        <v/>
      </c>
      <c r="I26">
        <f>INDEX(RateTables!$B$13:$B$16,MATCH(Policies!C26,RateTables!$A$13:$A$16,0))</f>
        <v/>
      </c>
      <c r="J26">
        <f>INDEX(RateTables!$C$13:$C$16,MATCH(Policies!C26,RateTables!$A$13:$A$16,0))</f>
        <v/>
      </c>
      <c r="K26">
        <f>INDEX(RateTables!$B$19:$C$28,MATCH(Policies!D26,RateTables!$A$19:$A$28,0),IF(Policies!C26="Frame",1,2))</f>
        <v/>
      </c>
      <c r="L26">
        <f>VLOOKUP(B26,AgeBands,2,TRUE)</f>
        <v/>
      </c>
      <c r="M26">
        <f>VLOOKUP(C26,RoofBands,2,TRUE)</f>
        <v/>
      </c>
      <c r="N26">
        <f>VLOOKUP(Policies!G26,AOIBands,2,TRUE)</f>
        <v/>
      </c>
      <c r="O26">
        <f>VLOOKUP(Policies!H26,RateTables!$A$31:$B$35,2,TRUE)</f>
        <v/>
      </c>
      <c r="P26">
        <f>VLOOKUP(MIN(Policies!L26,3),ClaimsTable,2,FALSE)</f>
        <v/>
      </c>
      <c r="Q26">
        <f>ROUND(H26*I26*K26*L26*M26*N26*O26*P26,2)</f>
        <v/>
      </c>
      <c r="R26">
        <f>IF(Policies!J26="Y",1,0)</f>
        <v/>
      </c>
      <c r="S26">
        <f>IF(AND(Policies!L26=0,B26&gt;=3),1,0)</f>
        <v/>
      </c>
      <c r="T26">
        <f>IF(B26&lt;=5,1,0)</f>
        <v/>
      </c>
      <c r="U26">
        <f>IF(Policies!K26="Basic",1,0)</f>
        <v/>
      </c>
      <c r="V26">
        <f>IF(Policies!K26="Fortified",1,0)</f>
        <v/>
      </c>
      <c r="W26">
        <f>SUMPRODUCT(R26:V26,CreditPcts)</f>
        <v/>
      </c>
      <c r="X26">
        <f>MIN(W26,CreditCap)</f>
        <v/>
      </c>
      <c r="Y26">
        <f>ROUND(Q26*(1-X26),2)</f>
        <v/>
      </c>
      <c r="Z26">
        <f>IF(Policies!I26="",0.02,Policies!I26)</f>
        <v/>
      </c>
      <c r="AA26">
        <f>IFERROR(VLOOKUP(Z26,HurrDedTable,2,FALSE),1)</f>
        <v/>
      </c>
      <c r="AB26">
        <f>IFERROR(INDEX(RateTables!$L$31:$L$33,MATCH(Policies!K26,RateTables!$K$31:$K$33,0)),1)</f>
        <v/>
      </c>
      <c r="AC26">
        <f>ROUND(F26*D26*J26*AA26*AB26,2)</f>
        <v/>
      </c>
      <c r="AD26">
        <f>MIN(AC26,Policies!G26*HurrCapPct)</f>
        <v/>
      </c>
      <c r="AE26">
        <f>Y26+AD26</f>
        <v/>
      </c>
      <c r="AF26" s="1">
        <f>EDATE(Policies!M26,Policies!N26)</f>
        <v/>
      </c>
      <c r="AG26">
        <f>ROUND(YEARFRAC(Policies!M26,AF26,3),4)</f>
        <v/>
      </c>
      <c r="AH26">
        <f>ROUND(AE26*AG26,2)</f>
        <v/>
      </c>
      <c r="AI26">
        <f>MAX(AH26,MinPremium)</f>
        <v/>
      </c>
      <c r="AJ26">
        <f>ROUNDUP(AI26,0)</f>
        <v/>
      </c>
      <c r="AK26">
        <f>VLOOKUP(Policies!N26,FeeTable,2,FALSE)</f>
        <v/>
      </c>
      <c r="AL26">
        <f>ROUND(AJ26*AssessRate,2)</f>
        <v/>
      </c>
      <c r="AM26">
        <f>ROUND((AJ26+AK26)*G26,2)</f>
        <v/>
      </c>
      <c r="AN26">
        <f>AJ26+AK26+AL26+AM26</f>
        <v/>
      </c>
      <c r="AO26">
        <f>IF(OR(Policies!G26&gt;1000000,C26&gt;20,Policies!L26&gt;=3),"REFER","OK")</f>
        <v/>
      </c>
      <c r="AP26">
        <f>ROUND(AH26/D26,3)</f>
        <v/>
      </c>
      <c r="AQ26">
        <f>Policies!B26&amp;"-"&amp;LEFT(Policies!C26,1)&amp;TEXT(Policies!D26,"00")</f>
        <v/>
      </c>
    </row>
    <row r="27">
      <c r="A27">
        <f>Policies!A27</f>
        <v/>
      </c>
      <c r="B27">
        <f>IFERROR(DATEDIF(DATE(Policies!E27,1,1),Policies!M27,"y"),0)</f>
        <v/>
      </c>
      <c r="C27">
        <f>Policies!F27*1</f>
        <v/>
      </c>
      <c r="D27">
        <f>Policies!G27/1000</f>
        <v/>
      </c>
      <c r="E27">
        <f>VLOOKUP(Policies!B27,BaseRates,2,FALSE)</f>
        <v/>
      </c>
      <c r="F27">
        <f>VLOOKUP(Policies!B27,BaseRates,3,FALSE)</f>
        <v/>
      </c>
      <c r="G27">
        <f>VLOOKUP(Policies!B27,BaseRates,4,FALSE)</f>
        <v/>
      </c>
      <c r="H27">
        <f>ROUND(E27*D27,2)</f>
        <v/>
      </c>
      <c r="I27">
        <f>INDEX(RateTables!$B$13:$B$16,MATCH(Policies!C27,RateTables!$A$13:$A$16,0))</f>
        <v/>
      </c>
      <c r="J27">
        <f>INDEX(RateTables!$C$13:$C$16,MATCH(Policies!C27,RateTables!$A$13:$A$16,0))</f>
        <v/>
      </c>
      <c r="K27">
        <f>INDEX(RateTables!$B$19:$C$28,MATCH(Policies!D27,RateTables!$A$19:$A$28,0),IF(Policies!C27="Frame",1,2))</f>
        <v/>
      </c>
      <c r="L27">
        <f>VLOOKUP(B27,AgeBands,2,TRUE)</f>
        <v/>
      </c>
      <c r="M27">
        <f>VLOOKUP(C27,RoofBands,2,TRUE)</f>
        <v/>
      </c>
      <c r="N27">
        <f>VLOOKUP(Policies!G27,AOIBands,2,TRUE)</f>
        <v/>
      </c>
      <c r="O27">
        <f>VLOOKUP(Policies!H27,RateTables!$A$31:$B$35,2,TRUE)</f>
        <v/>
      </c>
      <c r="P27">
        <f>VLOOKUP(MIN(Policies!L27,3),ClaimsTable,2,FALSE)</f>
        <v/>
      </c>
      <c r="Q27">
        <f>ROUND(H27*I27*K27*L27*M27*N27*O27*P27,2)</f>
        <v/>
      </c>
      <c r="R27">
        <f>IF(Policies!J27="Y",1,0)</f>
        <v/>
      </c>
      <c r="S27">
        <f>IF(AND(Policies!L27=0,B27&gt;=3),1,0)</f>
        <v/>
      </c>
      <c r="T27">
        <f>IF(B27&lt;=5,1,0)</f>
        <v/>
      </c>
      <c r="U27">
        <f>IF(Policies!K27="Basic",1,0)</f>
        <v/>
      </c>
      <c r="V27">
        <f>IF(Policies!K27="Fortified",1,0)</f>
        <v/>
      </c>
      <c r="W27">
        <f>SUMPRODUCT(R27:V27,CreditPcts)</f>
        <v/>
      </c>
      <c r="X27">
        <f>MIN(W27,CreditCap)</f>
        <v/>
      </c>
      <c r="Y27">
        <f>ROUND(Q27*(1-X27),2)</f>
        <v/>
      </c>
      <c r="Z27">
        <f>IF(Policies!I27="",0.02,Policies!I27)</f>
        <v/>
      </c>
      <c r="AA27">
        <f>IFERROR(VLOOKUP(Z27,HurrDedTable,2,FALSE),1)</f>
        <v/>
      </c>
      <c r="AB27">
        <f>IFERROR(INDEX(RateTables!$L$31:$L$33,MATCH(Policies!K27,RateTables!$K$31:$K$33,0)),1)</f>
        <v/>
      </c>
      <c r="AC27">
        <f>ROUND(F27*D27*J27*AA27*AB27,2)</f>
        <v/>
      </c>
      <c r="AD27">
        <f>MIN(AC27,Policies!G27*HurrCapPct)</f>
        <v/>
      </c>
      <c r="AE27">
        <f>Y27+AD27</f>
        <v/>
      </c>
      <c r="AF27" s="1">
        <f>EDATE(Policies!M27,Policies!N27)</f>
        <v/>
      </c>
      <c r="AG27">
        <f>ROUND(YEARFRAC(Policies!M27,AF27,3),4)</f>
        <v/>
      </c>
      <c r="AH27">
        <f>ROUND(AE27*AG27,2)</f>
        <v/>
      </c>
      <c r="AI27">
        <f>MAX(AH27,MinPremium)</f>
        <v/>
      </c>
      <c r="AJ27">
        <f>ROUNDUP(AI27,0)</f>
        <v/>
      </c>
      <c r="AK27">
        <f>VLOOKUP(Policies!N27,FeeTable,2,FALSE)</f>
        <v/>
      </c>
      <c r="AL27">
        <f>ROUND(AJ27*AssessRate,2)</f>
        <v/>
      </c>
      <c r="AM27">
        <f>ROUND((AJ27+AK27)*G27,2)</f>
        <v/>
      </c>
      <c r="AN27">
        <f>AJ27+AK27+AL27+AM27</f>
        <v/>
      </c>
      <c r="AO27">
        <f>IF(OR(Policies!G27&gt;1000000,C27&gt;20,Policies!L27&gt;=3),"REFER","OK")</f>
        <v/>
      </c>
      <c r="AP27">
        <f>ROUND(AH27/D27,3)</f>
        <v/>
      </c>
      <c r="AQ27">
        <f>Policies!B27&amp;"-"&amp;LEFT(Policies!C27,1)&amp;TEXT(Policies!D27,"00")</f>
        <v/>
      </c>
    </row>
    <row r="28">
      <c r="A28">
        <f>Policies!A28</f>
        <v/>
      </c>
      <c r="B28">
        <f>IFERROR(DATEDIF(DATE(Policies!E28,1,1),Policies!M28,"y"),0)</f>
        <v/>
      </c>
      <c r="C28">
        <f>Policies!F28*1</f>
        <v/>
      </c>
      <c r="D28">
        <f>Policies!G28/1000</f>
        <v/>
      </c>
      <c r="E28">
        <f>VLOOKUP(Policies!B28,BaseRates,2,FALSE)</f>
        <v/>
      </c>
      <c r="F28">
        <f>VLOOKUP(Policies!B28,BaseRates,3,FALSE)</f>
        <v/>
      </c>
      <c r="G28">
        <f>VLOOKUP(Policies!B28,BaseRates,4,FALSE)</f>
        <v/>
      </c>
      <c r="H28">
        <f>ROUND(E28*D28,2)</f>
        <v/>
      </c>
      <c r="I28">
        <f>INDEX(RateTables!$B$13:$B$16,MATCH(Policies!C28,RateTables!$A$13:$A$16,0))</f>
        <v/>
      </c>
      <c r="J28">
        <f>INDEX(RateTables!$C$13:$C$16,MATCH(Policies!C28,RateTables!$A$13:$A$16,0))</f>
        <v/>
      </c>
      <c r="K28">
        <f>INDEX(RateTables!$B$19:$C$28,MATCH(Policies!D28,RateTables!$A$19:$A$28,0),IF(Policies!C28="Frame",1,2))</f>
        <v/>
      </c>
      <c r="L28">
        <f>VLOOKUP(B28,AgeBands,2,TRUE)</f>
        <v/>
      </c>
      <c r="M28">
        <f>VLOOKUP(C28,RoofBands,2,TRUE)</f>
        <v/>
      </c>
      <c r="N28">
        <f>VLOOKUP(Policies!G28,AOIBands,2,TRUE)</f>
        <v/>
      </c>
      <c r="O28">
        <f>VLOOKUP(Policies!H28,RateTables!$A$31:$B$35,2,TRUE)</f>
        <v/>
      </c>
      <c r="P28">
        <f>VLOOKUP(MIN(Policies!L28,3),ClaimsTable,2,FALSE)</f>
        <v/>
      </c>
      <c r="Q28">
        <f>ROUND(H28*I28*K28*L28*M28*N28*O28*P28,2)</f>
        <v/>
      </c>
      <c r="R28">
        <f>IF(Policies!J28="Y",1,0)</f>
        <v/>
      </c>
      <c r="S28">
        <f>IF(AND(Policies!L28=0,B28&gt;=3),1,0)</f>
        <v/>
      </c>
      <c r="T28">
        <f>IF(B28&lt;=5,1,0)</f>
        <v/>
      </c>
      <c r="U28">
        <f>IF(Policies!K28="Basic",1,0)</f>
        <v/>
      </c>
      <c r="V28">
        <f>IF(Policies!K28="Fortified",1,0)</f>
        <v/>
      </c>
      <c r="W28">
        <f>SUMPRODUCT(R28:V28,CreditPcts)</f>
        <v/>
      </c>
      <c r="X28">
        <f>MIN(W28,CreditCap)</f>
        <v/>
      </c>
      <c r="Y28">
        <f>ROUND(Q28*(1-X28),2)</f>
        <v/>
      </c>
      <c r="Z28">
        <f>IF(Policies!I28="",0.02,Policies!I28)</f>
        <v/>
      </c>
      <c r="AA28">
        <f>IFERROR(VLOOKUP(Z28,HurrDedTable,2,FALSE),1)</f>
        <v/>
      </c>
      <c r="AB28">
        <f>IFERROR(INDEX(RateTables!$L$31:$L$33,MATCH(Policies!K28,RateTables!$K$31:$K$33,0)),1)</f>
        <v/>
      </c>
      <c r="AC28">
        <f>ROUND(F28*D28*J28*AA28*AB28,2)</f>
        <v/>
      </c>
      <c r="AD28">
        <f>MIN(AC28,Policies!G28*HurrCapPct)</f>
        <v/>
      </c>
      <c r="AE28">
        <f>Y28+AD28</f>
        <v/>
      </c>
      <c r="AF28" s="1">
        <f>EDATE(Policies!M28,Policies!N28)</f>
        <v/>
      </c>
      <c r="AG28">
        <f>ROUND(YEARFRAC(Policies!M28,AF28,3),4)</f>
        <v/>
      </c>
      <c r="AH28">
        <f>ROUND(AE28*AG28,2)</f>
        <v/>
      </c>
      <c r="AI28">
        <f>MAX(AH28,MinPremium)</f>
        <v/>
      </c>
      <c r="AJ28">
        <f>ROUNDUP(AI28,0)</f>
        <v/>
      </c>
      <c r="AK28">
        <f>VLOOKUP(Policies!N28,FeeTable,2,FALSE)</f>
        <v/>
      </c>
      <c r="AL28">
        <f>ROUND(AJ28*AssessRate,2)</f>
        <v/>
      </c>
      <c r="AM28">
        <f>ROUND((AJ28+AK28)*G28,2)</f>
        <v/>
      </c>
      <c r="AN28">
        <f>AJ28+AK28+AL28+AM28</f>
        <v/>
      </c>
      <c r="AO28">
        <f>IF(OR(Policies!G28&gt;1000000,C28&gt;20,Policies!L28&gt;=3),"REFER","OK")</f>
        <v/>
      </c>
      <c r="AP28">
        <f>ROUND(AH28/D28,3)</f>
        <v/>
      </c>
      <c r="AQ28">
        <f>Policies!B28&amp;"-"&amp;LEFT(Policies!C28,1)&amp;TEXT(Policies!D28,"00")</f>
        <v/>
      </c>
    </row>
    <row r="29">
      <c r="A29">
        <f>Policies!A29</f>
        <v/>
      </c>
      <c r="B29">
        <f>IFERROR(DATEDIF(DATE(Policies!E29,1,1),Policies!M29,"y"),0)</f>
        <v/>
      </c>
      <c r="C29">
        <f>Policies!F29*1</f>
        <v/>
      </c>
      <c r="D29">
        <f>Policies!G29/1000</f>
        <v/>
      </c>
      <c r="E29">
        <f>VLOOKUP(Policies!B29,BaseRates,2,FALSE)</f>
        <v/>
      </c>
      <c r="F29">
        <f>VLOOKUP(Policies!B29,BaseRates,3,FALSE)</f>
        <v/>
      </c>
      <c r="G29">
        <f>VLOOKUP(Policies!B29,BaseRates,4,FALSE)</f>
        <v/>
      </c>
      <c r="H29">
        <f>ROUND(E29*D29,2)</f>
        <v/>
      </c>
      <c r="I29">
        <f>INDEX(RateTables!$B$13:$B$16,MATCH(Policies!C29,RateTables!$A$13:$A$16,0))</f>
        <v/>
      </c>
      <c r="J29">
        <f>INDEX(RateTables!$C$13:$C$16,MATCH(Policies!C29,RateTables!$A$13:$A$16,0))</f>
        <v/>
      </c>
      <c r="K29">
        <f>INDEX(RateTables!$B$19:$C$28,MATCH(Policies!D29,RateTables!$A$19:$A$28,0),IF(Policies!C29="Frame",1,2))</f>
        <v/>
      </c>
      <c r="L29">
        <f>VLOOKUP(B29,AgeBands,2,TRUE)</f>
        <v/>
      </c>
      <c r="M29">
        <f>VLOOKUP(C29,RoofBands,2,TRUE)</f>
        <v/>
      </c>
      <c r="N29">
        <f>VLOOKUP(Policies!G29,AOIBands,2,TRUE)</f>
        <v/>
      </c>
      <c r="O29">
        <f>VLOOKUP(Policies!H29,RateTables!$A$31:$B$35,2,TRUE)</f>
        <v/>
      </c>
      <c r="P29">
        <f>VLOOKUP(MIN(Policies!L29,3),ClaimsTable,2,FALSE)</f>
        <v/>
      </c>
      <c r="Q29">
        <f>ROUND(H29*I29*K29*L29*M29*N29*O29*P29,2)</f>
        <v/>
      </c>
      <c r="R29">
        <f>IF(Policies!J29="Y",1,0)</f>
        <v/>
      </c>
      <c r="S29">
        <f>IF(AND(Policies!L29=0,B29&gt;=3),1,0)</f>
        <v/>
      </c>
      <c r="T29">
        <f>IF(B29&lt;=5,1,0)</f>
        <v/>
      </c>
      <c r="U29">
        <f>IF(Policies!K29="Basic",1,0)</f>
        <v/>
      </c>
      <c r="V29">
        <f>IF(Policies!K29="Fortified",1,0)</f>
        <v/>
      </c>
      <c r="W29">
        <f>SUMPRODUCT(R29:V29,CreditPcts)</f>
        <v/>
      </c>
      <c r="X29">
        <f>MIN(W29,CreditCap)</f>
        <v/>
      </c>
      <c r="Y29">
        <f>ROUND(Q29*(1-X29),2)</f>
        <v/>
      </c>
      <c r="Z29">
        <f>IF(Policies!I29="",0.02,Policies!I29)</f>
        <v/>
      </c>
      <c r="AA29">
        <f>IFERROR(VLOOKUP(Z29,HurrDedTable,2,FALSE),1)</f>
        <v/>
      </c>
      <c r="AB29">
        <f>IFERROR(INDEX(RateTables!$L$31:$L$33,MATCH(Policies!K29,RateTables!$K$31:$K$33,0)),1)</f>
        <v/>
      </c>
      <c r="AC29">
        <f>ROUND(F29*D29*J29*AA29*AB29,2)</f>
        <v/>
      </c>
      <c r="AD29">
        <f>MIN(AC29,Policies!G29*HurrCapPct)</f>
        <v/>
      </c>
      <c r="AE29">
        <f>Y29+AD29</f>
        <v/>
      </c>
      <c r="AF29" s="1">
        <f>EDATE(Policies!M29,Policies!N29)</f>
        <v/>
      </c>
      <c r="AG29">
        <f>ROUND(YEARFRAC(Policies!M29,AF29,3),4)</f>
        <v/>
      </c>
      <c r="AH29">
        <f>ROUND(AE29*AG29,2)</f>
        <v/>
      </c>
      <c r="AI29">
        <f>MAX(AH29,MinPremium)</f>
        <v/>
      </c>
      <c r="AJ29">
        <f>ROUNDUP(AI29,0)</f>
        <v/>
      </c>
      <c r="AK29">
        <f>VLOOKUP(Policies!N29,FeeTable,2,FALSE)</f>
        <v/>
      </c>
      <c r="AL29">
        <f>ROUND(AJ29*AssessRate,2)</f>
        <v/>
      </c>
      <c r="AM29">
        <f>ROUND((AJ29+AK29)*G29,2)</f>
        <v/>
      </c>
      <c r="AN29">
        <f>AJ29+AK29+AL29+AM29</f>
        <v/>
      </c>
      <c r="AO29">
        <f>IF(OR(Policies!G29&gt;1000000,C29&gt;20,Policies!L29&gt;=3),"REFER","OK")</f>
        <v/>
      </c>
      <c r="AP29">
        <f>ROUND(AH29/D29,3)</f>
        <v/>
      </c>
      <c r="AQ29">
        <f>Policies!B29&amp;"-"&amp;LEFT(Policies!C29,1)&amp;TEXT(Policies!D29,"00")</f>
        <v/>
      </c>
    </row>
    <row r="30">
      <c r="A30">
        <f>Policies!A30</f>
        <v/>
      </c>
      <c r="B30">
        <f>IFERROR(DATEDIF(DATE(Policies!E30,1,1),Policies!M30,"y"),0)</f>
        <v/>
      </c>
      <c r="C30">
        <f>Policies!F30*1</f>
        <v/>
      </c>
      <c r="D30">
        <f>Policies!G30/1000</f>
        <v/>
      </c>
      <c r="E30">
        <f>VLOOKUP(Policies!B30,BaseRates,2,FALSE)</f>
        <v/>
      </c>
      <c r="F30">
        <f>VLOOKUP(Policies!B30,BaseRates,3,FALSE)</f>
        <v/>
      </c>
      <c r="G30">
        <f>VLOOKUP(Policies!B30,BaseRates,4,FALSE)</f>
        <v/>
      </c>
      <c r="H30">
        <f>ROUND(E30*D30,2)</f>
        <v/>
      </c>
      <c r="I30">
        <f>INDEX(RateTables!$B$13:$B$16,MATCH(Policies!C30,RateTables!$A$13:$A$16,0))</f>
        <v/>
      </c>
      <c r="J30">
        <f>INDEX(RateTables!$C$13:$C$16,MATCH(Policies!C30,RateTables!$A$13:$A$16,0))</f>
        <v/>
      </c>
      <c r="K30">
        <f>INDEX(RateTables!$B$19:$C$28,MATCH(Policies!D30,RateTables!$A$19:$A$28,0),IF(Policies!C30="Frame",1,2))</f>
        <v/>
      </c>
      <c r="L30">
        <f>VLOOKUP(B30,AgeBands,2,TRUE)</f>
        <v/>
      </c>
      <c r="M30">
        <f>VLOOKUP(C30,RoofBands,2,TRUE)</f>
        <v/>
      </c>
      <c r="N30">
        <f>VLOOKUP(Policies!G30,AOIBands,2,TRUE)</f>
        <v/>
      </c>
      <c r="O30">
        <f>VLOOKUP(Policies!H30,RateTables!$A$31:$B$35,2,TRUE)</f>
        <v/>
      </c>
      <c r="P30">
        <f>VLOOKUP(MIN(Policies!L30,3),ClaimsTable,2,FALSE)</f>
        <v/>
      </c>
      <c r="Q30">
        <f>ROUND(H30*I30*K30*L30*M30*N30*O30*P30,2)</f>
        <v/>
      </c>
      <c r="R30">
        <f>IF(Policies!J30="Y",1,0)</f>
        <v/>
      </c>
      <c r="S30">
        <f>IF(AND(Policies!L30=0,B30&gt;=3),1,0)</f>
        <v/>
      </c>
      <c r="T30">
        <f>IF(B30&lt;=5,1,0)</f>
        <v/>
      </c>
      <c r="U30">
        <f>IF(Policies!K30="Basic",1,0)</f>
        <v/>
      </c>
      <c r="V30">
        <f>IF(Policies!K30="Fortified",1,0)</f>
        <v/>
      </c>
      <c r="W30">
        <f>SUMPRODUCT(R30:V30,CreditPcts)</f>
        <v/>
      </c>
      <c r="X30">
        <f>MIN(W30,CreditCap)</f>
        <v/>
      </c>
      <c r="Y30">
        <f>ROUND(Q30*(1-X30),2)</f>
        <v/>
      </c>
      <c r="Z30">
        <f>IF(Policies!I30="",0.02,Policies!I30)</f>
        <v/>
      </c>
      <c r="AA30">
        <f>IFERROR(VLOOKUP(Z30,HurrDedTable,2,FALSE),1)</f>
        <v/>
      </c>
      <c r="AB30">
        <f>IFERROR(INDEX(RateTables!$L$31:$L$33,MATCH(Policies!K30,RateTables!$K$31:$K$33,0)),1)</f>
        <v/>
      </c>
      <c r="AC30">
        <f>ROUND(F30*D30*J30*AA30*AB30,2)</f>
        <v/>
      </c>
      <c r="AD30">
        <f>MIN(AC30,Policies!G30*HurrCapPct)</f>
        <v/>
      </c>
      <c r="AE30">
        <f>Y30+AD30</f>
        <v/>
      </c>
      <c r="AF30" s="1">
        <f>EDATE(Policies!M30,Policies!N30)</f>
        <v/>
      </c>
      <c r="AG30">
        <f>ROUND(YEARFRAC(Policies!M30,AF30,3),4)</f>
        <v/>
      </c>
      <c r="AH30">
        <f>ROUND(AE30*AG30,2)</f>
        <v/>
      </c>
      <c r="AI30">
        <f>MAX(AH30,MinPremium)</f>
        <v/>
      </c>
      <c r="AJ30">
        <f>ROUNDUP(AI30,0)</f>
        <v/>
      </c>
      <c r="AK30">
        <f>VLOOKUP(Policies!N30,FeeTable,2,FALSE)</f>
        <v/>
      </c>
      <c r="AL30">
        <f>ROUND(AJ30*AssessRate,2)</f>
        <v/>
      </c>
      <c r="AM30">
        <f>ROUND((AJ30+AK30)*G30,2)</f>
        <v/>
      </c>
      <c r="AN30">
        <f>AJ30+AK30+AL30+AM30</f>
        <v/>
      </c>
      <c r="AO30">
        <f>IF(OR(Policies!G30&gt;1000000,C30&gt;20,Policies!L30&gt;=3),"REFER","OK")</f>
        <v/>
      </c>
      <c r="AP30">
        <f>ROUND(AH30/D30,3)</f>
        <v/>
      </c>
      <c r="AQ30">
        <f>Policies!B30&amp;"-"&amp;LEFT(Policies!C30,1)&amp;TEXT(Policies!D30,"00")</f>
        <v/>
      </c>
    </row>
    <row r="31">
      <c r="A31">
        <f>Policies!A31</f>
        <v/>
      </c>
      <c r="B31">
        <f>IFERROR(DATEDIF(DATE(Policies!E31,1,1),Policies!M31,"y"),0)</f>
        <v/>
      </c>
      <c r="C31">
        <f>Policies!F31*1</f>
        <v/>
      </c>
      <c r="D31">
        <f>Policies!G31/1000</f>
        <v/>
      </c>
      <c r="E31">
        <f>VLOOKUP(Policies!B31,BaseRates,2,FALSE)</f>
        <v/>
      </c>
      <c r="F31">
        <f>VLOOKUP(Policies!B31,BaseRates,3,FALSE)</f>
        <v/>
      </c>
      <c r="G31">
        <f>VLOOKUP(Policies!B31,BaseRates,4,FALSE)</f>
        <v/>
      </c>
      <c r="H31">
        <f>ROUND(E31*D31,2)</f>
        <v/>
      </c>
      <c r="I31">
        <f>INDEX(RateTables!$B$13:$B$16,MATCH(Policies!C31,RateTables!$A$13:$A$16,0))</f>
        <v/>
      </c>
      <c r="J31">
        <f>INDEX(RateTables!$C$13:$C$16,MATCH(Policies!C31,RateTables!$A$13:$A$16,0))</f>
        <v/>
      </c>
      <c r="K31">
        <f>INDEX(RateTables!$B$19:$C$28,MATCH(Policies!D31,RateTables!$A$19:$A$28,0),IF(Policies!C31="Frame",1,2))</f>
        <v/>
      </c>
      <c r="L31">
        <f>VLOOKUP(B31,AgeBands,2,TRUE)</f>
        <v/>
      </c>
      <c r="M31">
        <f>VLOOKUP(C31,RoofBands,2,TRUE)</f>
        <v/>
      </c>
      <c r="N31">
        <f>VLOOKUP(Policies!G31,AOIBands,2,TRUE)</f>
        <v/>
      </c>
      <c r="O31">
        <f>VLOOKUP(Policies!H31,RateTables!$A$31:$B$35,2,TRUE)</f>
        <v/>
      </c>
      <c r="P31">
        <f>VLOOKUP(MIN(Policies!L31,3),ClaimsTable,2,FALSE)</f>
        <v/>
      </c>
      <c r="Q31">
        <f>ROUND(H31*I31*K31*L31*M31*N31*O31*P31,2)</f>
        <v/>
      </c>
      <c r="R31">
        <f>IF(Policies!J31="Y",1,0)</f>
        <v/>
      </c>
      <c r="S31">
        <f>IF(AND(Policies!L31=0,B31&gt;=3),1,0)</f>
        <v/>
      </c>
      <c r="T31">
        <f>IF(B31&lt;=5,1,0)</f>
        <v/>
      </c>
      <c r="U31">
        <f>IF(Policies!K31="Basic",1,0)</f>
        <v/>
      </c>
      <c r="V31">
        <f>IF(Policies!K31="Fortified",1,0)</f>
        <v/>
      </c>
      <c r="W31">
        <f>SUMPRODUCT(R31:V31,CreditPcts)</f>
        <v/>
      </c>
      <c r="X31">
        <f>W31</f>
        <v/>
      </c>
      <c r="Y31">
        <f>ROUND(Q31*(1-X31),2)</f>
        <v/>
      </c>
      <c r="Z31">
        <f>IF(Policies!I31="",0.02,Policies!I31)</f>
        <v/>
      </c>
      <c r="AA31">
        <f>IFERROR(VLOOKUP(Z31,HurrDedTable,2,FALSE),1)</f>
        <v/>
      </c>
      <c r="AB31">
        <f>IFERROR(INDEX(RateTables!$L$31:$L$33,MATCH(Policies!K31,RateTables!$K$31:$K$33,0)),1)</f>
        <v/>
      </c>
      <c r="AC31">
        <f>ROUND(F31*D31*J31*AA31*AB31,2)</f>
        <v/>
      </c>
      <c r="AD31">
        <f>MIN(AC31,Policies!G31*HurrCapPct)</f>
        <v/>
      </c>
      <c r="AE31">
        <f>Y31+AD31</f>
        <v/>
      </c>
      <c r="AF31" s="1">
        <f>EDATE(Policies!M31,Policies!N31)</f>
        <v/>
      </c>
      <c r="AG31">
        <f>ROUND(YEARFRAC(Policies!M31,AF31,3),4)</f>
        <v/>
      </c>
      <c r="AH31">
        <f>ROUND(AE31*AG31,2)</f>
        <v/>
      </c>
      <c r="AI31">
        <f>MAX(AH31,MinPremium)</f>
        <v/>
      </c>
      <c r="AJ31">
        <f>ROUNDUP(AI31,0)</f>
        <v/>
      </c>
      <c r="AK31">
        <f>VLOOKUP(Policies!N31,FeeTable,2,FALSE)</f>
        <v/>
      </c>
      <c r="AL31">
        <f>ROUND(AJ31*AssessRate,2)</f>
        <v/>
      </c>
      <c r="AM31">
        <f>ROUND((AJ31+AK31)*G31,2)</f>
        <v/>
      </c>
      <c r="AN31">
        <f>AJ31+AK31+AL31+AM31</f>
        <v/>
      </c>
      <c r="AO31">
        <f>IF(OR(Policies!G31&gt;1000000,C31&gt;20,Policies!L31&gt;=3),"REFER","OK")</f>
        <v/>
      </c>
      <c r="AP31">
        <f>ROUND(AH31/D31,3)</f>
        <v/>
      </c>
      <c r="AQ31">
        <f>Policies!B31&amp;"-"&amp;LEFT(Policies!C31,1)&amp;TEXT(Policies!D31,"00")</f>
        <v/>
      </c>
    </row>
    <row r="32">
      <c r="A32">
        <f>Policies!A32</f>
        <v/>
      </c>
      <c r="B32">
        <f>IFERROR(DATEDIF(DATE(Policies!E32,1,1),Policies!M32,"y"),0)</f>
        <v/>
      </c>
      <c r="C32">
        <f>Policies!F32*1</f>
        <v/>
      </c>
      <c r="D32">
        <f>Policies!G32/1000</f>
        <v/>
      </c>
      <c r="E32">
        <f>VLOOKUP(Policies!B32,BaseRates,2,FALSE)</f>
        <v/>
      </c>
      <c r="F32">
        <f>VLOOKUP(Policies!B32,BaseRates,3,FALSE)</f>
        <v/>
      </c>
      <c r="G32">
        <f>VLOOKUP(Policies!B32,BaseRates,4,FALSE)</f>
        <v/>
      </c>
      <c r="H32">
        <f>ROUND(E32*D32,2)</f>
        <v/>
      </c>
      <c r="I32">
        <f>INDEX(RateTables!$B$13:$B$16,MATCH(Policies!C32,RateTables!$A$13:$A$16,0))</f>
        <v/>
      </c>
      <c r="J32">
        <f>INDEX(RateTables!$C$13:$C$16,MATCH(Policies!C32,RateTables!$A$13:$A$16,0))</f>
        <v/>
      </c>
      <c r="K32">
        <f>INDEX(RateTables!$B$19:$C$28,MATCH(Policies!D32,RateTables!$A$19:$A$28,0),IF(Policies!C32="Frame",1,2))</f>
        <v/>
      </c>
      <c r="L32">
        <f>VLOOKUP(B32,AgeBands,2,TRUE)</f>
        <v/>
      </c>
      <c r="M32">
        <f>VLOOKUP(C32,RoofBands,2,TRUE)</f>
        <v/>
      </c>
      <c r="N32">
        <f>VLOOKUP(Policies!G32,AOIBands,2,TRUE)</f>
        <v/>
      </c>
      <c r="O32">
        <f>VLOOKUP(Policies!H32,RateTables!$A$31:$B$35,2,TRUE)</f>
        <v/>
      </c>
      <c r="P32">
        <f>VLOOKUP(MIN(Policies!L32,3),ClaimsTable,2,FALSE)</f>
        <v/>
      </c>
      <c r="Q32">
        <f>ROUND(H32*I32*K32*L32*M32*N32*O32*P32,2)</f>
        <v/>
      </c>
      <c r="R32">
        <f>IF(Policies!J32="Y",1,0)</f>
        <v/>
      </c>
      <c r="S32">
        <f>IF(AND(Policies!L32=0,B32&gt;=3),1,0)</f>
        <v/>
      </c>
      <c r="T32">
        <f>IF(B32&lt;=5,1,0)</f>
        <v/>
      </c>
      <c r="U32">
        <f>IF(Policies!K32="Basic",1,0)</f>
        <v/>
      </c>
      <c r="V32">
        <f>IF(Policies!K32="Fortified",1,0)</f>
        <v/>
      </c>
      <c r="W32">
        <f>SUMPRODUCT(R32:V32,CreditPcts)</f>
        <v/>
      </c>
      <c r="X32">
        <f>MIN(W32,CreditCap)</f>
        <v/>
      </c>
      <c r="Y32">
        <f>ROUND(Q32*(1-X32),2)</f>
        <v/>
      </c>
      <c r="Z32">
        <f>IF(Policies!I32="",0.02,Policies!I32)</f>
        <v/>
      </c>
      <c r="AA32">
        <f>IFERROR(VLOOKUP(Z32,HurrDedTable,2,FALSE),1)</f>
        <v/>
      </c>
      <c r="AB32">
        <f>IFERROR(INDEX(RateTables!$L$31:$L$33,MATCH(Policies!K32,RateTables!$K$31:$K$33,0)),1)</f>
        <v/>
      </c>
      <c r="AC32">
        <f>ROUND(F32*D32*J32*AA32*AB32,2)</f>
        <v/>
      </c>
      <c r="AD32">
        <f>MIN(AC32,Policies!G32*HurrCapPct)</f>
        <v/>
      </c>
      <c r="AE32">
        <f>Y32+AD32</f>
        <v/>
      </c>
      <c r="AF32" s="1">
        <f>EDATE(Policies!M32,Policies!N32)</f>
        <v/>
      </c>
      <c r="AG32">
        <f>ROUND(YEARFRAC(Policies!M32,AF32,3),4)</f>
        <v/>
      </c>
      <c r="AH32">
        <f>ROUND(AE32*AG32,2)</f>
        <v/>
      </c>
      <c r="AI32">
        <f>MAX(AH32,MinPremium)</f>
        <v/>
      </c>
      <c r="AJ32">
        <f>ROUNDUP(AI32,0)</f>
        <v/>
      </c>
      <c r="AK32">
        <f>VLOOKUP(Policies!N32,FeeTable,2,FALSE)</f>
        <v/>
      </c>
      <c r="AL32">
        <f>ROUND(AJ32*AssessRate,2)</f>
        <v/>
      </c>
      <c r="AM32">
        <f>ROUND((AJ32+AK32)*G32,2)</f>
        <v/>
      </c>
      <c r="AN32">
        <f>AJ32+AK32+AL32+AM32</f>
        <v/>
      </c>
      <c r="AO32">
        <f>IF(OR(Policies!G32&gt;1000000,C32&gt;20,Policies!L32&gt;=3),"REFER","OK")</f>
        <v/>
      </c>
      <c r="AP32">
        <f>ROUND(AH32/D32,3)</f>
        <v/>
      </c>
      <c r="AQ32">
        <f>Policies!B32&amp;"-"&amp;LEFT(Policies!C32,1)&amp;TEXT(Policies!D32,"00")</f>
        <v/>
      </c>
    </row>
    <row r="33">
      <c r="A33">
        <f>Policies!A33</f>
        <v/>
      </c>
      <c r="B33">
        <f>IFERROR(DATEDIF(DATE(Policies!E33,1,1),Policies!M33,"y"),0)</f>
        <v/>
      </c>
      <c r="C33">
        <f>Policies!F33*1</f>
        <v/>
      </c>
      <c r="D33">
        <f>Policies!G33/1000</f>
        <v/>
      </c>
      <c r="E33">
        <f>VLOOKUP(Policies!B33,BaseRates,2,FALSE)</f>
        <v/>
      </c>
      <c r="F33">
        <f>VLOOKUP(Policies!B33,BaseRates,3,FALSE)</f>
        <v/>
      </c>
      <c r="G33">
        <f>VLOOKUP(Policies!B33,BaseRates,4,FALSE)</f>
        <v/>
      </c>
      <c r="H33">
        <f>ROUND(E33*D33,2)</f>
        <v/>
      </c>
      <c r="I33">
        <f>INDEX(RateTables!$B$13:$B$16,MATCH(Policies!C33,RateTables!$A$13:$A$16,0))</f>
        <v/>
      </c>
      <c r="J33">
        <f>INDEX(RateTables!$C$13:$C$16,MATCH(Policies!C33,RateTables!$A$13:$A$16,0))</f>
        <v/>
      </c>
      <c r="K33">
        <f>INDEX(RateTables!$B$19:$C$28,MATCH(Policies!D33,RateTables!$A$19:$A$28,0),IF(Policies!C33="Frame",1,2))</f>
        <v/>
      </c>
      <c r="L33">
        <f>VLOOKUP(B33,AgeBands,2,TRUE)</f>
        <v/>
      </c>
      <c r="M33">
        <f>VLOOKUP(C33,RoofBands,2,TRUE)</f>
        <v/>
      </c>
      <c r="N33">
        <f>VLOOKUP(Policies!G33,AOIBands,2,TRUE)</f>
        <v/>
      </c>
      <c r="O33">
        <f>VLOOKUP(Policies!H33,RateTables!$A$31:$B$35,2,TRUE)</f>
        <v/>
      </c>
      <c r="P33">
        <f>VLOOKUP(MIN(Policies!L33,3),ClaimsTable,2,FALSE)</f>
        <v/>
      </c>
      <c r="Q33">
        <f>ROUND(H33*I33*K33*L33*M33*N33*O33*P33,2)</f>
        <v/>
      </c>
      <c r="R33">
        <f>IF(Policies!J33="Y",1,0)</f>
        <v/>
      </c>
      <c r="S33">
        <f>IF(AND(Policies!L33=0,B33&gt;=3),1,0)</f>
        <v/>
      </c>
      <c r="T33">
        <f>IF(B33&lt;=5,1,0)</f>
        <v/>
      </c>
      <c r="U33">
        <f>IF(Policies!K33="Basic",1,0)</f>
        <v/>
      </c>
      <c r="V33">
        <f>IF(Policies!K33="Fortified",1,0)</f>
        <v/>
      </c>
      <c r="W33">
        <f>SUMPRODUCT(R33:V33,CreditPcts)</f>
        <v/>
      </c>
      <c r="X33">
        <f>MIN(W33,CreditCap)</f>
        <v/>
      </c>
      <c r="Y33">
        <f>ROUND(Q33*(1-X33),2)</f>
        <v/>
      </c>
      <c r="Z33">
        <f>IF(Policies!I33="",0.02,Policies!I33)</f>
        <v/>
      </c>
      <c r="AA33">
        <f>IFERROR(VLOOKUP(Z33,HurrDedTable,2,FALSE),1)</f>
        <v/>
      </c>
      <c r="AB33">
        <f>IFERROR(INDEX(RateTables!$L$31:$L$33,MATCH(Policies!K33,RateTables!$K$31:$K$33,0)),1)</f>
        <v/>
      </c>
      <c r="AC33">
        <f>ROUND(F33*D33*J33*AA33*AB33,2)</f>
        <v/>
      </c>
      <c r="AD33">
        <f>MIN(AC33,Policies!G33*HurrCapPct)</f>
        <v/>
      </c>
      <c r="AE33">
        <f>Y33+AD33</f>
        <v/>
      </c>
      <c r="AF33" s="1">
        <f>EDATE(Policies!M33,Policies!N33)</f>
        <v/>
      </c>
      <c r="AG33">
        <f>ROUND(YEARFRAC(Policies!M33,AF33,3),4)</f>
        <v/>
      </c>
      <c r="AH33">
        <f>ROUND(AE33*AG33,2)</f>
        <v/>
      </c>
      <c r="AI33">
        <f>MAX(AH33,MinPremium)</f>
        <v/>
      </c>
      <c r="AJ33">
        <f>ROUNDUP(AI33,0)</f>
        <v/>
      </c>
      <c r="AK33">
        <f>VLOOKUP(Policies!N33,FeeTable,2,FALSE)</f>
        <v/>
      </c>
      <c r="AL33">
        <f>ROUND(AJ33*AssessRate,2)</f>
        <v/>
      </c>
      <c r="AM33">
        <f>ROUND((AJ33+AK33)*G33,2)</f>
        <v/>
      </c>
      <c r="AN33">
        <f>AJ33+AK33+AL33+AM33</f>
        <v/>
      </c>
      <c r="AO33">
        <f>IF(OR(Policies!G33&gt;1000000,C33&gt;20,Policies!L33&gt;=3),"REFER","OK")</f>
        <v/>
      </c>
      <c r="AP33">
        <f>ROUND(AH33/D33,3)</f>
        <v/>
      </c>
      <c r="AQ33">
        <f>Policies!B33&amp;"-"&amp;LEFT(Policies!C33,1)&amp;TEXT(Policies!D33,"00")</f>
        <v/>
      </c>
    </row>
    <row r="34">
      <c r="A34">
        <f>Policies!A34</f>
        <v/>
      </c>
      <c r="B34">
        <f>IFERROR(DATEDIF(DATE(Policies!E34,1,1),Policies!M34,"y"),0)</f>
        <v/>
      </c>
      <c r="C34">
        <f>Policies!F34*1</f>
        <v/>
      </c>
      <c r="D34">
        <f>Policies!G34/1000</f>
        <v/>
      </c>
      <c r="E34">
        <f>VLOOKUP(Policies!B34,BaseRates,2,FALSE)</f>
        <v/>
      </c>
      <c r="F34">
        <f>VLOOKUP(Policies!B34,BaseRates,3,FALSE)</f>
        <v/>
      </c>
      <c r="G34">
        <f>VLOOKUP(Policies!B34,BaseRates,4,FALSE)</f>
        <v/>
      </c>
      <c r="H34">
        <f>ROUND(E34*D34,2)</f>
        <v/>
      </c>
      <c r="I34">
        <f>INDEX(RateTables!$B$13:$B$16,MATCH(Policies!C34,RateTables!$A$13:$A$16,0))</f>
        <v/>
      </c>
      <c r="J34">
        <f>INDEX(RateTables!$C$13:$C$16,MATCH(Policies!C34,RateTables!$A$13:$A$16,0))</f>
        <v/>
      </c>
      <c r="K34">
        <f>INDEX(RateTables!$B$19:$C$28,MATCH(Policies!D34,RateTables!$A$19:$A$28,0),IF(Policies!C34="Frame",1,2))</f>
        <v/>
      </c>
      <c r="L34">
        <f>VLOOKUP(B34,AgeBands,2,TRUE)</f>
        <v/>
      </c>
      <c r="M34">
        <f>VLOOKUP(C34,RoofBands,2,TRUE)</f>
        <v/>
      </c>
      <c r="N34">
        <f>VLOOKUP(Policies!G34,AOIBands,2,TRUE)</f>
        <v/>
      </c>
      <c r="O34">
        <f>VLOOKUP(Policies!H34,RateTables!$A$31:$B$35,2,TRUE)</f>
        <v/>
      </c>
      <c r="P34">
        <f>VLOOKUP(MIN(Policies!L34,3),ClaimsTable,2,FALSE)</f>
        <v/>
      </c>
      <c r="Q34">
        <f>ROUND(H34*I34*K34*L34*M34*N34*O34*P34,2)</f>
        <v/>
      </c>
      <c r="R34">
        <f>IF(Policies!J34="Y",1,0)</f>
        <v/>
      </c>
      <c r="S34">
        <f>IF(AND(Policies!L34=0,B34&gt;=3),1,0)</f>
        <v/>
      </c>
      <c r="T34">
        <f>IF(B34&lt;=5,1,0)</f>
        <v/>
      </c>
      <c r="U34">
        <f>IF(Policies!K34="Basic",1,0)</f>
        <v/>
      </c>
      <c r="V34">
        <f>IF(Policies!K34="Fortified",1,0)</f>
        <v/>
      </c>
      <c r="W34">
        <f>SUMPRODUCT(R34:V34,CreditPcts)</f>
        <v/>
      </c>
      <c r="X34">
        <f>MIN(W34,CreditCap)</f>
        <v/>
      </c>
      <c r="Y34">
        <f>ROUND(Q34*(1-X34),2)</f>
        <v/>
      </c>
      <c r="Z34">
        <f>IF(Policies!I34="",0.02,Policies!I34)</f>
        <v/>
      </c>
      <c r="AA34">
        <f>IFERROR(VLOOKUP(Z34,HurrDedTable,2,FALSE),1)</f>
        <v/>
      </c>
      <c r="AB34">
        <f>IFERROR(INDEX(RateTables!$L$31:$L$33,MATCH(Policies!K34,RateTables!$K$31:$K$33,0)),1)</f>
        <v/>
      </c>
      <c r="AC34">
        <f>ROUND(F34*D34*J34*AA34*AB34,2)</f>
        <v/>
      </c>
      <c r="AD34">
        <f>MIN(AC34,Policies!G34*HurrCapPct)</f>
        <v/>
      </c>
      <c r="AE34">
        <f>Y34+AD34</f>
        <v/>
      </c>
      <c r="AF34" s="1">
        <f>EDATE(Policies!M34,Policies!N34)</f>
        <v/>
      </c>
      <c r="AG34">
        <f>ROUND(YEARFRAC(Policies!M34,AF34,3),4)</f>
        <v/>
      </c>
      <c r="AH34">
        <f>ROUND(AE34*AG34,2)</f>
        <v/>
      </c>
      <c r="AI34">
        <f>MAX(AH34,MinPremium)</f>
        <v/>
      </c>
      <c r="AJ34">
        <f>ROUNDUP(AI34,0)</f>
        <v/>
      </c>
      <c r="AK34">
        <f>VLOOKUP(Policies!N34,FeeTable,2,FALSE)</f>
        <v/>
      </c>
      <c r="AL34">
        <f>ROUND(AJ34*AssessRate,2)</f>
        <v/>
      </c>
      <c r="AM34">
        <f>ROUND((AJ34+AK34)*G34,2)</f>
        <v/>
      </c>
      <c r="AN34">
        <f>AJ34+AK34+AL34+AM34</f>
        <v/>
      </c>
      <c r="AO34">
        <f>IF(OR(Policies!G34&gt;1000000,C34&gt;20,Policies!L34&gt;=3),"REFER","OK")</f>
        <v/>
      </c>
      <c r="AP34">
        <f>ROUND(AH34/D34,3)</f>
        <v/>
      </c>
      <c r="AQ34">
        <f>Policies!B34&amp;"-"&amp;LEFT(Policies!C34,1)&amp;TEXT(Policies!D34,"00")</f>
        <v/>
      </c>
    </row>
    <row r="35">
      <c r="A35">
        <f>Policies!A35</f>
        <v/>
      </c>
      <c r="B35">
        <f>IFERROR(DATEDIF(DATE(Policies!E35,1,1),Policies!M35,"y"),0)</f>
        <v/>
      </c>
      <c r="C35">
        <f>Policies!F35*1</f>
        <v/>
      </c>
      <c r="D35">
        <f>Policies!G35/1000</f>
        <v/>
      </c>
      <c r="E35">
        <f>VLOOKUP(Policies!B35,BaseRates,2,FALSE)</f>
        <v/>
      </c>
      <c r="F35">
        <f>VLOOKUP(Policies!B35,BaseRates,3,FALSE)</f>
        <v/>
      </c>
      <c r="G35">
        <f>VLOOKUP(Policies!B35,BaseRates,4,FALSE)</f>
        <v/>
      </c>
      <c r="H35">
        <f>ROUND(E35*D35,2)</f>
        <v/>
      </c>
      <c r="I35">
        <f>INDEX(RateTables!$B$13:$B$16,MATCH(Policies!C35,RateTables!$A$13:$A$16,0))</f>
        <v/>
      </c>
      <c r="J35">
        <f>INDEX(RateTables!$C$13:$C$16,MATCH(Policies!C35,RateTables!$A$13:$A$16,0))</f>
        <v/>
      </c>
      <c r="K35">
        <f>INDEX(RateTables!$B$19:$C$28,MATCH(Policies!D35,RateTables!$A$19:$A$28,0),IF(Policies!C35="Frame",1,2))</f>
        <v/>
      </c>
      <c r="L35">
        <f>VLOOKUP(B35,AgeBands,2,TRUE)</f>
        <v/>
      </c>
      <c r="M35">
        <f>VLOOKUP(C35,RoofBands,2,TRUE)</f>
        <v/>
      </c>
      <c r="N35">
        <f>VLOOKUP(Policies!G35,AOIBands,2,TRUE)</f>
        <v/>
      </c>
      <c r="O35">
        <f>VLOOKUP(Policies!H35,RateTables!$A$31:$B$35,2,TRUE)</f>
        <v/>
      </c>
      <c r="P35">
        <f>VLOOKUP(MIN(Policies!L35,3),ClaimsTable,2,FALSE)</f>
        <v/>
      </c>
      <c r="Q35">
        <f>ROUND(H35*I35*K35*L35*M35*N35*O35*P35,2)</f>
        <v/>
      </c>
      <c r="R35">
        <f>IF(Policies!J35="Y",1,0)</f>
        <v/>
      </c>
      <c r="S35">
        <f>IF(AND(Policies!L35=0,B35&gt;=3),1,0)</f>
        <v/>
      </c>
      <c r="T35">
        <f>IF(B35&lt;=5,1,0)</f>
        <v/>
      </c>
      <c r="U35">
        <f>IF(Policies!K35="Basic",1,0)</f>
        <v/>
      </c>
      <c r="V35">
        <f>IF(Policies!K35="Fortified",1,0)</f>
        <v/>
      </c>
      <c r="W35">
        <f>SUMPRODUCT(R35:V35,CreditPcts)</f>
        <v/>
      </c>
      <c r="X35">
        <f>MIN(W35,CreditCap)</f>
        <v/>
      </c>
      <c r="Y35">
        <f>ROUND(Q35*(1-X35),2)</f>
        <v/>
      </c>
      <c r="Z35">
        <f>IF(Policies!I35="",0.02,Policies!I35)</f>
        <v/>
      </c>
      <c r="AA35">
        <f>IFERROR(VLOOKUP(Z35,HurrDedTable,2,FALSE),1)</f>
        <v/>
      </c>
      <c r="AB35">
        <f>IFERROR(INDEX(RateTables!$L$31:$L$33,MATCH(Policies!K35,RateTables!$K$31:$K$33,0)),1)</f>
        <v/>
      </c>
      <c r="AC35">
        <f>ROUND(F35*D35*J35*AA35*AB35,2)</f>
        <v/>
      </c>
      <c r="AD35">
        <f>MIN(AC35,Policies!G35*HurrCapPct)</f>
        <v/>
      </c>
      <c r="AE35">
        <f>Y35+AD35</f>
        <v/>
      </c>
      <c r="AF35" s="1">
        <f>EDATE(Policies!M35,Policies!N35)</f>
        <v/>
      </c>
      <c r="AG35">
        <f>ROUND(YEARFRAC(Policies!M35,AF35,3),4)</f>
        <v/>
      </c>
      <c r="AH35">
        <f>ROUND(AE35*AG35,2)</f>
        <v/>
      </c>
      <c r="AI35">
        <f>MAX(AH35,MinPremium)</f>
        <v/>
      </c>
      <c r="AJ35">
        <f>ROUNDUP(AI35,0)</f>
        <v/>
      </c>
      <c r="AK35">
        <f>VLOOKUP(Policies!N35,FeeTable,2,FALSE)</f>
        <v/>
      </c>
      <c r="AL35">
        <f>ROUND(AJ35*AssessRate,2)</f>
        <v/>
      </c>
      <c r="AM35">
        <f>ROUND((AJ35+AK35)*G35,2)</f>
        <v/>
      </c>
      <c r="AN35">
        <f>AJ35+AK35+AL35+AM35</f>
        <v/>
      </c>
      <c r="AO35">
        <f>IF(OR(Policies!G35&gt;1000000,C35&gt;20,Policies!L35&gt;=3),"REFER","OK")</f>
        <v/>
      </c>
      <c r="AP35">
        <f>ROUND(AH35/D35,3)</f>
        <v/>
      </c>
      <c r="AQ35">
        <f>Policies!B35&amp;"-"&amp;LEFT(Policies!C35,1)&amp;TEXT(Policies!D35,"00")</f>
        <v/>
      </c>
    </row>
    <row r="36">
      <c r="A36">
        <f>Policies!A36</f>
        <v/>
      </c>
      <c r="B36">
        <f>IFERROR(DATEDIF(DATE(Policies!E36,1,1),Policies!M36,"y"),0)</f>
        <v/>
      </c>
      <c r="C36">
        <f>Policies!F36*1</f>
        <v/>
      </c>
      <c r="D36">
        <f>Policies!G36/1000</f>
        <v/>
      </c>
      <c r="E36">
        <f>VLOOKUP(Policies!B36,BaseRates,2,FALSE)</f>
        <v/>
      </c>
      <c r="F36">
        <f>VLOOKUP(Policies!B36,BaseRates,3,FALSE)</f>
        <v/>
      </c>
      <c r="G36">
        <f>VLOOKUP(Policies!B36,BaseRates,4,FALSE)</f>
        <v/>
      </c>
      <c r="H36">
        <f>ROUND(E36*D36,2)</f>
        <v/>
      </c>
      <c r="I36">
        <f>INDEX(RateTables!$B$13:$B$16,MATCH(Policies!C36,RateTables!$A$13:$A$16,0))</f>
        <v/>
      </c>
      <c r="J36">
        <f>INDEX(RateTables!$C$13:$C$16,MATCH(Policies!C36,RateTables!$A$13:$A$16,0))</f>
        <v/>
      </c>
      <c r="K36">
        <f>INDEX(RateTables!$B$19:$C$28,MATCH(Policies!D36,RateTables!$A$19:$A$28,0),IF(Policies!C36="Frame",1,2))</f>
        <v/>
      </c>
      <c r="L36">
        <f>VLOOKUP(B36,AgeBands,2,TRUE)</f>
        <v/>
      </c>
      <c r="M36">
        <f>VLOOKUP(C36,RoofBands,2,TRUE)</f>
        <v/>
      </c>
      <c r="N36">
        <f>VLOOKUP(Policies!G36,AOIBands,2,TRUE)</f>
        <v/>
      </c>
      <c r="O36">
        <f>VLOOKUP(Policies!H36,RateTables!$A$31:$B$35,2,TRUE)</f>
        <v/>
      </c>
      <c r="P36">
        <f>VLOOKUP(MIN(Policies!L36,3),ClaimsTable,2,FALSE)</f>
        <v/>
      </c>
      <c r="Q36">
        <f>ROUND(H36*I36*K36*L36*M36*N36*O36*P36,2)</f>
        <v/>
      </c>
      <c r="R36">
        <f>IF(Policies!J36="Y",1,0)</f>
        <v/>
      </c>
      <c r="S36">
        <f>IF(AND(Policies!L36=0,B36&gt;=3),1,0)</f>
        <v/>
      </c>
      <c r="T36">
        <f>IF(B36&lt;=5,1,0)</f>
        <v/>
      </c>
      <c r="U36">
        <f>IF(Policies!K36="Basic",1,0)</f>
        <v/>
      </c>
      <c r="V36">
        <f>IF(Policies!K36="Fortified",1,0)</f>
        <v/>
      </c>
      <c r="W36">
        <f>SUMPRODUCT(R36:V36,CreditPcts)</f>
        <v/>
      </c>
      <c r="X36">
        <f>MIN(W36,CreditCap)</f>
        <v/>
      </c>
      <c r="Y36">
        <f>ROUND(Q36*(1-X36),2)</f>
        <v/>
      </c>
      <c r="Z36">
        <f>IF(Policies!I36="",0.02,Policies!I36)</f>
        <v/>
      </c>
      <c r="AA36">
        <f>IFERROR(VLOOKUP(Z36,HurrDedTable,2,FALSE),1)</f>
        <v/>
      </c>
      <c r="AB36">
        <f>IFERROR(INDEX(RateTables!$L$31:$L$33,MATCH(Policies!K36,RateTables!$K$31:$K$33,0)),1)</f>
        <v/>
      </c>
      <c r="AC36">
        <f>ROUND(F36*D36*J36*AA36*AB36,2)</f>
        <v/>
      </c>
      <c r="AD36">
        <f>MIN(AC36,Policies!G36*HurrCapPct)</f>
        <v/>
      </c>
      <c r="AE36">
        <f>Y36+AD36</f>
        <v/>
      </c>
      <c r="AF36" s="1">
        <f>EDATE(Policies!M36,Policies!N36)</f>
        <v/>
      </c>
      <c r="AG36">
        <f>ROUND(YEARFRAC(Policies!M36,AF36,3),4)</f>
        <v/>
      </c>
      <c r="AH36">
        <f>ROUND(AE36*AG36,2)</f>
        <v/>
      </c>
      <c r="AI36">
        <f>MAX(AH36,MinPremium)</f>
        <v/>
      </c>
      <c r="AJ36">
        <f>ROUNDUP(AI36,0)</f>
        <v/>
      </c>
      <c r="AK36">
        <f>VLOOKUP(Policies!N36,FeeTable,2,FALSE)</f>
        <v/>
      </c>
      <c r="AL36">
        <f>ROUND(AJ36*AssessRate,2)</f>
        <v/>
      </c>
      <c r="AM36">
        <f>ROUND((AJ36+AK36)*G36,2)</f>
        <v/>
      </c>
      <c r="AN36">
        <f>AJ36+AK36+AL36+AM36</f>
        <v/>
      </c>
      <c r="AO36">
        <f>IF(OR(Policies!G36&gt;1000000,C36&gt;20,Policies!L36&gt;=3),"REFER","OK")</f>
        <v/>
      </c>
      <c r="AP36">
        <f>ROUND(AH36/D36,3)</f>
        <v/>
      </c>
      <c r="AQ36">
        <f>Policies!B36&amp;"-"&amp;LEFT(Policies!C36,1)&amp;TEXT(Policies!D36,"00")</f>
        <v/>
      </c>
    </row>
    <row r="37">
      <c r="A37">
        <f>Policies!A37</f>
        <v/>
      </c>
      <c r="B37">
        <f>IFERROR(DATEDIF(DATE(Policies!E37,1,1),Policies!M37,"y"),0)</f>
        <v/>
      </c>
      <c r="C37">
        <f>Policies!F37*1</f>
        <v/>
      </c>
      <c r="D37">
        <f>Policies!G37/1000</f>
        <v/>
      </c>
      <c r="E37">
        <f>VLOOKUP(Policies!B37,BaseRates,2,FALSE)</f>
        <v/>
      </c>
      <c r="F37">
        <f>VLOOKUP(Policies!B37,BaseRates,3,FALSE)</f>
        <v/>
      </c>
      <c r="G37">
        <f>VLOOKUP(Policies!B37,BaseRates,4,FALSE)</f>
        <v/>
      </c>
      <c r="H37">
        <f>ROUND(E37*D37,2)</f>
        <v/>
      </c>
      <c r="I37">
        <f>INDEX(RateTables!$B$13:$B$16,MATCH(Policies!C37,RateTables!$A$13:$A$16,0))</f>
        <v/>
      </c>
      <c r="J37">
        <f>INDEX(RateTables!$C$13:$C$16,MATCH(Policies!C37,RateTables!$A$13:$A$16,0))</f>
        <v/>
      </c>
      <c r="K37">
        <f>INDEX(RateTables!$B$19:$C$28,MATCH(Policies!D37,RateTables!$A$19:$A$28,0),IF(Policies!C37="Frame",1,2))</f>
        <v/>
      </c>
      <c r="L37">
        <f>VLOOKUP(B37,AgeBands,2,TRUE)</f>
        <v/>
      </c>
      <c r="M37">
        <f>VLOOKUP(C37,RoofBands,2,TRUE)</f>
        <v/>
      </c>
      <c r="N37">
        <f>VLOOKUP(Policies!G37,AOIBands,2,TRUE)</f>
        <v/>
      </c>
      <c r="O37">
        <f>VLOOKUP(Policies!H37,RateTables!$A$31:$B$35,2,TRUE)</f>
        <v/>
      </c>
      <c r="P37">
        <f>VLOOKUP(MIN(Policies!L37,3),ClaimsTable,2,FALSE)</f>
        <v/>
      </c>
      <c r="Q37">
        <f>ROUND(H37*I37*K37*L37*M37*N37*O37*P37,2)</f>
        <v/>
      </c>
      <c r="R37">
        <f>IF(Policies!J37="Y",1,0)</f>
        <v/>
      </c>
      <c r="S37">
        <f>IF(AND(Policies!L37=0,B37&gt;=3),1,0)</f>
        <v/>
      </c>
      <c r="T37">
        <f>IF(B37&lt;=5,1,0)</f>
        <v/>
      </c>
      <c r="U37">
        <f>IF(Policies!K37="Basic",1,0)</f>
        <v/>
      </c>
      <c r="V37">
        <f>IF(Policies!K37="Fortified",1,0)</f>
        <v/>
      </c>
      <c r="W37">
        <f>SUMPRODUCT(R37:V37,CreditPcts)</f>
        <v/>
      </c>
      <c r="X37">
        <f>MIN(W37,CreditCap)</f>
        <v/>
      </c>
      <c r="Y37">
        <f>ROUND(Q37*(1-X37),2)</f>
        <v/>
      </c>
      <c r="Z37">
        <f>IF(Policies!I37="",0.02,Policies!I37)</f>
        <v/>
      </c>
      <c r="AA37">
        <f>IFERROR(VLOOKUP(Z37,HurrDedTable,2,FALSE),1)</f>
        <v/>
      </c>
      <c r="AB37">
        <f>IFERROR(INDEX(RateTables!$L$31:$L$33,MATCH(Policies!K37,RateTables!$K$31:$K$33,0)),1)</f>
        <v/>
      </c>
      <c r="AC37">
        <f>ROUND(F37*D37*J37*AA37*AB37,2)</f>
        <v/>
      </c>
      <c r="AD37">
        <f>MIN(AC37,Policies!G37*HurrCapPct)</f>
        <v/>
      </c>
      <c r="AE37">
        <f>Y37+AD37</f>
        <v/>
      </c>
      <c r="AF37" s="1">
        <f>EDATE(Policies!M37,Policies!N37)</f>
        <v/>
      </c>
      <c r="AG37">
        <f>ROUND(YEARFRAC(Policies!M37,AF37,3),4)</f>
        <v/>
      </c>
      <c r="AH37">
        <f>ROUND(AE37*AG37,2)</f>
        <v/>
      </c>
      <c r="AI37">
        <f>MAX(AH37,MinPremium)</f>
        <v/>
      </c>
      <c r="AJ37">
        <f>ROUNDUP(AI37,0)</f>
        <v/>
      </c>
      <c r="AK37">
        <f>VLOOKUP(Policies!N37,FeeTable,2,FALSE)</f>
        <v/>
      </c>
      <c r="AL37">
        <f>ROUND(AJ37*AssessRate,2)</f>
        <v/>
      </c>
      <c r="AM37">
        <f>ROUND((AJ37+AK37)*G37,2)</f>
        <v/>
      </c>
      <c r="AN37">
        <f>AJ37+AK37+AL37+AM37</f>
        <v/>
      </c>
      <c r="AO37">
        <f>IF(OR(Policies!G37&gt;1000000,C37&gt;20,Policies!L37&gt;=3),"REFER","OK")</f>
        <v/>
      </c>
      <c r="AP37">
        <f>ROUND(AH37/D37,3)</f>
        <v/>
      </c>
      <c r="AQ37">
        <f>Policies!B37&amp;"-"&amp;LEFT(Policies!C37,1)&amp;TEXT(Policies!D37,"00")</f>
        <v/>
      </c>
    </row>
    <row r="38">
      <c r="A38">
        <f>Policies!A38</f>
        <v/>
      </c>
      <c r="B38">
        <f>IFERROR(DATEDIF(DATE(Policies!E38,1,1),Policies!M38,"y"),0)</f>
        <v/>
      </c>
      <c r="C38">
        <f>Policies!F38*1</f>
        <v/>
      </c>
      <c r="D38">
        <f>Policies!G38/1000</f>
        <v/>
      </c>
      <c r="E38">
        <f>VLOOKUP(Policies!B38,BaseRates,2,FALSE)</f>
        <v/>
      </c>
      <c r="F38">
        <f>VLOOKUP(Policies!B38,BaseRates,3,FALSE)</f>
        <v/>
      </c>
      <c r="G38">
        <f>VLOOKUP(Policies!B38,BaseRates,4,FALSE)</f>
        <v/>
      </c>
      <c r="H38">
        <f>ROUND(E38*D38,2)</f>
        <v/>
      </c>
      <c r="I38">
        <f>INDEX(RateTables!$B$13:$B$16,MATCH(Policies!C38,RateTables!$A$13:$A$16,0))</f>
        <v/>
      </c>
      <c r="J38">
        <f>INDEX(RateTables!$C$13:$C$16,MATCH(Policies!C38,RateTables!$A$13:$A$16,0))</f>
        <v/>
      </c>
      <c r="K38">
        <f>INDEX(RateTables!$B$19:$C$28,MATCH(Policies!D38,RateTables!$A$19:$A$28,0),IF(Policies!C38="Frame",1,2))</f>
        <v/>
      </c>
      <c r="L38">
        <f>VLOOKUP(B38,AgeBands,2,TRUE)</f>
        <v/>
      </c>
      <c r="M38">
        <f>VLOOKUP(C38,RoofBands,2,TRUE)</f>
        <v/>
      </c>
      <c r="N38">
        <f>VLOOKUP(Policies!G38,AOIBands,2,TRUE)</f>
        <v/>
      </c>
      <c r="O38">
        <f>VLOOKUP(Policies!H38,RateTables!$A$31:$B$35,2,TRUE)</f>
        <v/>
      </c>
      <c r="P38">
        <f>VLOOKUP(MIN(Policies!L38,3),ClaimsTable,2,FALSE)</f>
        <v/>
      </c>
      <c r="Q38">
        <f>ROUND(H38*I38*K38*L38*M38*N38*O38*P38,2)</f>
        <v/>
      </c>
      <c r="R38">
        <f>IF(Policies!J38="Y",1,0)</f>
        <v/>
      </c>
      <c r="S38">
        <f>IF(AND(Policies!L38=0,B38&gt;=3),1,0)</f>
        <v/>
      </c>
      <c r="T38">
        <f>IF(B38&lt;=5,1,0)</f>
        <v/>
      </c>
      <c r="U38">
        <f>IF(Policies!K38="Basic",1,0)</f>
        <v/>
      </c>
      <c r="V38">
        <f>IF(Policies!K38="Fortified",1,0)</f>
        <v/>
      </c>
      <c r="W38">
        <f>SUMPRODUCT(R38:V38,CreditPcts)</f>
        <v/>
      </c>
      <c r="X38">
        <f>MIN(W38,CreditCap)</f>
        <v/>
      </c>
      <c r="Y38">
        <f>ROUND(Q38*(1-X38),2)</f>
        <v/>
      </c>
      <c r="Z38">
        <f>IF(Policies!I38="",0.02,Policies!I38)</f>
        <v/>
      </c>
      <c r="AA38">
        <f>IFERROR(VLOOKUP(Z38,HurrDedTable,2,FALSE),1)</f>
        <v/>
      </c>
      <c r="AB38">
        <f>IFERROR(INDEX(RateTables!$L$31:$L$33,MATCH(Policies!K38,RateTables!$K$31:$K$33,0)),1)</f>
        <v/>
      </c>
      <c r="AC38">
        <f>ROUND(F38*D38*J38*AA38*AB38,2)</f>
        <v/>
      </c>
      <c r="AD38">
        <f>MIN(AC38,Policies!G38*HurrCapPct)</f>
        <v/>
      </c>
      <c r="AE38">
        <f>Y38+AD38</f>
        <v/>
      </c>
      <c r="AF38" s="1">
        <f>EDATE(Policies!M38,Policies!N38)</f>
        <v/>
      </c>
      <c r="AG38">
        <f>ROUND(YEARFRAC(Policies!M38,AF38,3),4)</f>
        <v/>
      </c>
      <c r="AH38">
        <f>ROUND(AE38*AG38,2)</f>
        <v/>
      </c>
      <c r="AI38">
        <f>MAX(AH38,MinPremium)</f>
        <v/>
      </c>
      <c r="AJ38">
        <f>ROUNDUP(AI38,0)</f>
        <v/>
      </c>
      <c r="AK38">
        <f>VLOOKUP(Policies!N38,FeeTable,2,FALSE)</f>
        <v/>
      </c>
      <c r="AL38">
        <f>ROUND(AJ38*AssessRate,2)</f>
        <v/>
      </c>
      <c r="AM38">
        <f>ROUND((AJ38+AK38)*G38,2)</f>
        <v/>
      </c>
      <c r="AN38">
        <f>AJ38+AK38+AL38+AM38</f>
        <v/>
      </c>
      <c r="AO38">
        <f>IF(OR(Policies!G38&gt;1000000,C38&gt;20,Policies!L38&gt;=3),"REFER","OK")</f>
        <v/>
      </c>
      <c r="AP38">
        <f>ROUND(AH38/D38,3)</f>
        <v/>
      </c>
      <c r="AQ38">
        <f>Policies!B38&amp;"-"&amp;LEFT(Policies!C38,1)&amp;TEXT(Policies!D38,"00")</f>
        <v/>
      </c>
    </row>
    <row r="39">
      <c r="A39">
        <f>Policies!A39</f>
        <v/>
      </c>
      <c r="B39">
        <f>IFERROR(DATEDIF(DATE(Policies!E39,1,1),Policies!M39,"y"),0)</f>
        <v/>
      </c>
      <c r="C39">
        <f>Policies!F39*1</f>
        <v/>
      </c>
      <c r="D39">
        <f>Policies!G39/1000</f>
        <v/>
      </c>
      <c r="E39">
        <f>VLOOKUP(Policies!B39,BaseRates,2,FALSE)</f>
        <v/>
      </c>
      <c r="F39">
        <f>VLOOKUP(Policies!B39,BaseRates,3,FALSE)</f>
        <v/>
      </c>
      <c r="G39">
        <f>VLOOKUP(Policies!B39,BaseRates,4,FALSE)</f>
        <v/>
      </c>
      <c r="H39">
        <f>ROUND(E39*D39,2)</f>
        <v/>
      </c>
      <c r="I39">
        <f>INDEX(RateTables!$B$13:$B$16,MATCH(Policies!C39,RateTables!$A$13:$A$16,0))</f>
        <v/>
      </c>
      <c r="J39">
        <f>INDEX(RateTables!$C$13:$C$16,MATCH(Policies!C39,RateTables!$A$13:$A$16,0))</f>
        <v/>
      </c>
      <c r="K39">
        <f>INDEX(RateTables!$B$19:$C$28,MATCH(Policies!D39,RateTables!$A$19:$A$28,0),IF(Policies!C39="Frame",1,2))</f>
        <v/>
      </c>
      <c r="L39">
        <f>VLOOKUP(B39,AgeBands,2,TRUE)</f>
        <v/>
      </c>
      <c r="M39">
        <f>VLOOKUP(C39,RoofBands,2,TRUE)</f>
        <v/>
      </c>
      <c r="N39">
        <f>VLOOKUP(Policies!G39,AOIBands,2,TRUE)</f>
        <v/>
      </c>
      <c r="O39">
        <f>VLOOKUP(Policies!H39,RateTables!$A$31:$B$35,2,TRUE)</f>
        <v/>
      </c>
      <c r="P39">
        <f>VLOOKUP(MIN(Policies!L39,3),ClaimsTable,2,FALSE)</f>
        <v/>
      </c>
      <c r="Q39">
        <f>ROUND(H39*I39*K39*L39*M39*N39*O39*P39,2)</f>
        <v/>
      </c>
      <c r="R39">
        <f>IF(Policies!J39="Y",1,0)</f>
        <v/>
      </c>
      <c r="S39">
        <f>IF(AND(Policies!L39=0,B39&gt;=3),1,0)</f>
        <v/>
      </c>
      <c r="T39">
        <f>IF(B39&lt;=5,1,0)</f>
        <v/>
      </c>
      <c r="U39">
        <f>IF(Policies!K39="Basic",1,0)</f>
        <v/>
      </c>
      <c r="V39">
        <f>IF(Policies!K39="Fortified",1,0)</f>
        <v/>
      </c>
      <c r="W39">
        <f>SUMPRODUCT(R39:V39,CreditPcts)</f>
        <v/>
      </c>
      <c r="X39">
        <f>MIN(W39,CreditCap)</f>
        <v/>
      </c>
      <c r="Y39">
        <f>ROUND(Q39*(1-X39),2)</f>
        <v/>
      </c>
      <c r="Z39">
        <f>IF(Policies!I39="",0.02,Policies!I39)</f>
        <v/>
      </c>
      <c r="AA39">
        <f>IFERROR(VLOOKUP(Z39,HurrDedTable,2,FALSE),1)</f>
        <v/>
      </c>
      <c r="AB39">
        <f>IFERROR(INDEX(RateTables!$L$31:$L$33,MATCH(Policies!K39,RateTables!$K$31:$K$33,0)),1)</f>
        <v/>
      </c>
      <c r="AC39">
        <f>ROUND(F39*D39*J39*AA39*AB39,2)</f>
        <v/>
      </c>
      <c r="AD39">
        <f>MIN(AC39,Policies!G39*HurrCapPct)</f>
        <v/>
      </c>
      <c r="AE39">
        <f>Y39+AD39</f>
        <v/>
      </c>
      <c r="AF39" s="1">
        <f>EDATE(Policies!M39,Policies!N39)</f>
        <v/>
      </c>
      <c r="AG39">
        <f>ROUND(YEARFRAC(Policies!M39,AF39,3),4)</f>
        <v/>
      </c>
      <c r="AH39">
        <f>ROUND(AE39*AG39,2)</f>
        <v/>
      </c>
      <c r="AI39">
        <f>MAX(AH39,MinPremium)</f>
        <v/>
      </c>
      <c r="AJ39">
        <f>ROUNDUP(AI39,0)</f>
        <v/>
      </c>
      <c r="AK39">
        <f>VLOOKUP(Policies!N39,FeeTable,2,FALSE)</f>
        <v/>
      </c>
      <c r="AL39">
        <f>ROUND(AJ39*AssessRate,2)</f>
        <v/>
      </c>
      <c r="AM39">
        <f>ROUND((AJ39+AK39)*G39,2)</f>
        <v/>
      </c>
      <c r="AN39">
        <f>AJ39+AK39+AL39+AM39</f>
        <v/>
      </c>
      <c r="AO39">
        <f>IF(OR(Policies!G39&gt;1000000,C39&gt;20,Policies!L39&gt;=3),"REFER","OK")</f>
        <v/>
      </c>
      <c r="AP39">
        <f>ROUND(AH39/D39,3)</f>
        <v/>
      </c>
      <c r="AQ39">
        <f>Policies!B39&amp;"-"&amp;LEFT(Policies!C39,1)&amp;TEXT(Policies!D39,"00")</f>
        <v/>
      </c>
    </row>
    <row r="40">
      <c r="A40">
        <f>Policies!A40</f>
        <v/>
      </c>
      <c r="B40">
        <f>IFERROR(DATEDIF(DATE(Policies!E40,1,1),Policies!M40,"y"),0)</f>
        <v/>
      </c>
      <c r="C40">
        <f>Policies!F40*1</f>
        <v/>
      </c>
      <c r="D40">
        <f>Policies!G40/1000</f>
        <v/>
      </c>
      <c r="E40">
        <f>VLOOKUP(Policies!B40,BaseRates,2,FALSE)</f>
        <v/>
      </c>
      <c r="F40">
        <f>VLOOKUP(Policies!B40,BaseRates,3,FALSE)</f>
        <v/>
      </c>
      <c r="G40">
        <f>VLOOKUP(Policies!B40,BaseRates,4,FALSE)</f>
        <v/>
      </c>
      <c r="H40">
        <f>ROUND(E40*D40,2)</f>
        <v/>
      </c>
      <c r="I40">
        <f>INDEX(RateTables!$B$13:$B$16,MATCH(Policies!C40,RateTables!$A$13:$A$16,0))</f>
        <v/>
      </c>
      <c r="J40">
        <f>INDEX(RateTables!$C$13:$C$16,MATCH(Policies!C40,RateTables!$A$13:$A$16,0))</f>
        <v/>
      </c>
      <c r="K40">
        <f>INDEX(RateTables!$B$19:$C$28,MATCH(Policies!D40,RateTables!$A$19:$A$28,0),IF(Policies!C40="Frame",1,2))</f>
        <v/>
      </c>
      <c r="L40">
        <f>VLOOKUP(B40,AgeBands,2,TRUE)</f>
        <v/>
      </c>
      <c r="M40">
        <f>VLOOKUP(C40,RoofBands,2,TRUE)</f>
        <v/>
      </c>
      <c r="N40">
        <f>VLOOKUP(Policies!G40,AOIBands,2,TRUE)</f>
        <v/>
      </c>
      <c r="O40">
        <f>VLOOKUP(Policies!H40,RateTables!$A$31:$B$35,2,TRUE)</f>
        <v/>
      </c>
      <c r="P40">
        <f>VLOOKUP(MIN(Policies!L40,3),ClaimsTable,2,FALSE)</f>
        <v/>
      </c>
      <c r="Q40">
        <f>ROUND(H40*I40*K40*L40*M40*N40*O40*P40,2)</f>
        <v/>
      </c>
      <c r="R40">
        <f>IF(Policies!J40="Y",1,0)</f>
        <v/>
      </c>
      <c r="S40">
        <f>IF(AND(Policies!L40=0,B40&gt;=3),1,0)</f>
        <v/>
      </c>
      <c r="T40">
        <f>IF(B40&lt;=5,1,0)</f>
        <v/>
      </c>
      <c r="U40">
        <f>IF(Policies!K40="Basic",1,0)</f>
        <v/>
      </c>
      <c r="V40">
        <f>IF(Policies!K40="Fortified",1,0)</f>
        <v/>
      </c>
      <c r="W40">
        <f>SUMPRODUCT(R40:V40,CreditPcts)</f>
        <v/>
      </c>
      <c r="X40">
        <f>MIN(W40,CreditCap)</f>
        <v/>
      </c>
      <c r="Y40">
        <f>ROUND(Q40*(1-X40),2)</f>
        <v/>
      </c>
      <c r="Z40">
        <f>IF(Policies!I40="",0.02,Policies!I40)</f>
        <v/>
      </c>
      <c r="AA40">
        <f>IFERROR(VLOOKUP(Z40,HurrDedTable,2,FALSE),1)</f>
        <v/>
      </c>
      <c r="AB40">
        <f>IFERROR(INDEX(RateTables!$L$31:$L$33,MATCH(Policies!K40,RateTables!$K$31:$K$33,0)),1)</f>
        <v/>
      </c>
      <c r="AC40">
        <f>ROUND(F40*D40*J40*AA40*AB40,2)</f>
        <v/>
      </c>
      <c r="AD40">
        <f>MIN(AC40,Policies!G40*HurrCapPct)</f>
        <v/>
      </c>
      <c r="AE40">
        <f>Y40+AD40</f>
        <v/>
      </c>
      <c r="AF40" s="1">
        <f>EDATE(Policies!M40,Policies!N40)</f>
        <v/>
      </c>
      <c r="AG40">
        <f>ROUND(YEARFRAC(Policies!M40,AF40,3),4)</f>
        <v/>
      </c>
      <c r="AH40">
        <f>ROUND(AE40*AG40,2)</f>
        <v/>
      </c>
      <c r="AI40">
        <f>MAX(AH40,MinPremium)</f>
        <v/>
      </c>
      <c r="AJ40">
        <f>ROUNDUP(AI40,0)</f>
        <v/>
      </c>
      <c r="AK40">
        <f>VLOOKUP(Policies!N40,FeeTable,2,FALSE)</f>
        <v/>
      </c>
      <c r="AL40">
        <f>ROUND(AJ40*AssessRate,2)</f>
        <v/>
      </c>
      <c r="AM40">
        <f>ROUND((AJ40+AK40)*G40,2)</f>
        <v/>
      </c>
      <c r="AN40">
        <f>AJ40+AK40+AL40+AM40</f>
        <v/>
      </c>
      <c r="AO40">
        <f>IF(OR(Policies!G40&gt;1000000,C40&gt;20,Policies!L40&gt;=3),"REFER","OK")</f>
        <v/>
      </c>
      <c r="AP40">
        <f>ROUND(AH40/D40,3)</f>
        <v/>
      </c>
      <c r="AQ40">
        <f>Policies!B40&amp;"-"&amp;LEFT(Policies!C40,1)&amp;TEXT(Policies!D40,"00")</f>
        <v/>
      </c>
    </row>
    <row r="41">
      <c r="A41">
        <f>Policies!A41</f>
        <v/>
      </c>
      <c r="B41">
        <f>IFERROR(DATEDIF(DATE(Policies!E41,1,1),Policies!M41,"y"),0)</f>
        <v/>
      </c>
      <c r="C41">
        <f>Policies!F41*1</f>
        <v/>
      </c>
      <c r="D41">
        <f>Policies!G41/1000</f>
        <v/>
      </c>
      <c r="E41">
        <f>VLOOKUP(Policies!B41,BaseRates,2,FALSE)</f>
        <v/>
      </c>
      <c r="F41">
        <f>VLOOKUP(Policies!B41,BaseRates,3,FALSE)</f>
        <v/>
      </c>
      <c r="G41">
        <f>VLOOKUP(Policies!B41,BaseRates,4,FALSE)</f>
        <v/>
      </c>
      <c r="H41">
        <f>ROUND(E41*D41,2)</f>
        <v/>
      </c>
      <c r="I41">
        <f>INDEX(RateTables!$B$13:$B$16,MATCH(Policies!C41,RateTables!$A$13:$A$16,0))</f>
        <v/>
      </c>
      <c r="J41">
        <f>INDEX(RateTables!$C$13:$C$16,MATCH(Policies!C41,RateTables!$A$13:$A$16,0))</f>
        <v/>
      </c>
      <c r="K41">
        <f>INDEX(RateTables!$B$19:$C$28,MATCH(Policies!D41,RateTables!$A$19:$A$28,0),IF(Policies!C41="Frame",1,2))</f>
        <v/>
      </c>
      <c r="L41">
        <f>VLOOKUP(B41,AgeBands,2,TRUE)</f>
        <v/>
      </c>
      <c r="M41">
        <f>VLOOKUP(C41,RoofBands,2,TRUE)</f>
        <v/>
      </c>
      <c r="N41">
        <f>VLOOKUP(Policies!G41,AOIBands,2,TRUE)</f>
        <v/>
      </c>
      <c r="O41">
        <f>VLOOKUP(Policies!H41,RateTables!$A$31:$B$35,2,TRUE)</f>
        <v/>
      </c>
      <c r="P41">
        <f>VLOOKUP(MIN(Policies!L41,3),ClaimsTable,2,FALSE)</f>
        <v/>
      </c>
      <c r="Q41">
        <f>ROUND(H41*I41*K41*L41*M41*N41*O41*P41,2)</f>
        <v/>
      </c>
      <c r="R41">
        <f>IF(Policies!J41="Y",1,0)</f>
        <v/>
      </c>
      <c r="S41">
        <f>IF(AND(Policies!L41=0,B41&gt;=3),1,0)</f>
        <v/>
      </c>
      <c r="T41">
        <f>IF(B41&lt;=5,1,0)</f>
        <v/>
      </c>
      <c r="U41">
        <f>IF(Policies!K41="Basic",1,0)</f>
        <v/>
      </c>
      <c r="V41">
        <f>IF(Policies!K41="Fortified",1,0)</f>
        <v/>
      </c>
      <c r="W41">
        <f>SUMPRODUCT(R41:V41,CreditPcts)</f>
        <v/>
      </c>
      <c r="X41">
        <f>MIN(W41,CreditCap)</f>
        <v/>
      </c>
      <c r="Y41">
        <f>ROUND(Q41*(1-X41),2)</f>
        <v/>
      </c>
      <c r="Z41">
        <f>IF(Policies!I41="",0.02,Policies!I41)</f>
        <v/>
      </c>
      <c r="AA41">
        <f>IFERROR(VLOOKUP(Z41,HurrDedTable,2,FALSE),1)</f>
        <v/>
      </c>
      <c r="AB41">
        <f>IFERROR(INDEX(RateTables!$L$31:$L$33,MATCH(Policies!K41,RateTables!$K$31:$K$33,0)),1)</f>
        <v/>
      </c>
      <c r="AC41">
        <f>ROUND(F41*D41*J41*AA41*AB41,2)</f>
        <v/>
      </c>
      <c r="AD41">
        <f>MIN(AC41,Policies!G41*HurrCapPct)</f>
        <v/>
      </c>
      <c r="AE41">
        <f>Y41+AD41</f>
        <v/>
      </c>
      <c r="AF41" s="1">
        <f>EDATE(Policies!M41,Policies!N41)</f>
        <v/>
      </c>
      <c r="AG41">
        <f>ROUND(YEARFRAC(Policies!M41,AF41,3),4)</f>
        <v/>
      </c>
      <c r="AH41">
        <f>ROUND(AE41*AG41,2)</f>
        <v/>
      </c>
      <c r="AI41">
        <f>MAX(AH41,MinPremium)</f>
        <v/>
      </c>
      <c r="AJ41">
        <f>ROUNDUP(AI41,0)</f>
        <v/>
      </c>
      <c r="AK41">
        <f>VLOOKUP(Policies!N41,FeeTable,2,FALSE)</f>
        <v/>
      </c>
      <c r="AL41">
        <f>ROUND(AJ41*AssessRate,2)</f>
        <v/>
      </c>
      <c r="AM41">
        <f>ROUND((AJ41+AK41)*G41,2)</f>
        <v/>
      </c>
      <c r="AN41">
        <f>AJ41+AK41+AL41+AM41</f>
        <v/>
      </c>
      <c r="AO41">
        <f>IF(OR(Policies!G41&gt;1000000,C41&gt;20,Policies!L41&gt;=3),"REFER","OK")</f>
        <v/>
      </c>
      <c r="AP41">
        <f>ROUND(AH41/D41,3)</f>
        <v/>
      </c>
      <c r="AQ41">
        <f>Policies!B41&amp;"-"&amp;LEFT(Policies!C41,1)&amp;TEXT(Policies!D41,"00")</f>
        <v/>
      </c>
    </row>
    <row r="42">
      <c r="A42">
        <f>Policies!A42</f>
        <v/>
      </c>
      <c r="B42">
        <f>IFERROR(DATEDIF(DATE(Policies!E42,1,1),Policies!M42,"y"),0)</f>
        <v/>
      </c>
      <c r="C42">
        <f>Policies!F42*1</f>
        <v/>
      </c>
      <c r="D42">
        <f>Policies!G42/1000</f>
        <v/>
      </c>
      <c r="E42">
        <f>VLOOKUP(Policies!B42,BaseRates,2,FALSE)</f>
        <v/>
      </c>
      <c r="F42">
        <f>VLOOKUP(Policies!B42,BaseRates,3,FALSE)</f>
        <v/>
      </c>
      <c r="G42">
        <f>VLOOKUP(Policies!B42,BaseRates,4,FALSE)</f>
        <v/>
      </c>
      <c r="H42">
        <f>ROUND(E42*D42,2)</f>
        <v/>
      </c>
      <c r="I42">
        <f>INDEX(RateTables!$B$13:$B$16,MATCH(Policies!C42,RateTables!$A$13:$A$16,0))</f>
        <v/>
      </c>
      <c r="J42">
        <f>INDEX(RateTables!$C$13:$C$16,MATCH(Policies!C42,RateTables!$A$13:$A$16,0))</f>
        <v/>
      </c>
      <c r="K42">
        <f>INDEX(RateTables!$B$19:$C$28,MATCH(Policies!D42,RateTables!$A$19:$A$28,0),IF(Policies!C42="Frame",1,2))</f>
        <v/>
      </c>
      <c r="L42">
        <f>VLOOKUP(B42,AgeBands,2,TRUE)</f>
        <v/>
      </c>
      <c r="M42">
        <f>VLOOKUP(C42,RoofBands,2,TRUE)</f>
        <v/>
      </c>
      <c r="N42">
        <f>VLOOKUP(Policies!G42,AOIBands,2,TRUE)</f>
        <v/>
      </c>
      <c r="O42">
        <f>VLOOKUP(Policies!H42,RateTables!$A$31:$B$35,2,TRUE)</f>
        <v/>
      </c>
      <c r="P42">
        <f>VLOOKUP(MIN(Policies!L42,3),ClaimsTable,2,FALSE)</f>
        <v/>
      </c>
      <c r="Q42">
        <f>ROUND(H42*I42*K42*L42*M42*N42*O42*P42,2)</f>
        <v/>
      </c>
      <c r="R42">
        <f>IF(Policies!J42="Y",1,0)</f>
        <v/>
      </c>
      <c r="S42">
        <f>IF(AND(Policies!L42=0,B42&gt;=3),1,0)</f>
        <v/>
      </c>
      <c r="T42">
        <f>IF(B42&lt;=5,1,0)</f>
        <v/>
      </c>
      <c r="U42">
        <f>IF(Policies!K42="Basic",1,0)</f>
        <v/>
      </c>
      <c r="V42">
        <f>IF(Policies!K42="Fortified",1,0)</f>
        <v/>
      </c>
      <c r="W42">
        <f>SUMPRODUCT(R42:V42,CreditPcts)</f>
        <v/>
      </c>
      <c r="X42">
        <f>MIN(W42,CreditCap)</f>
        <v/>
      </c>
      <c r="Y42">
        <f>ROUND(Q42*(1-X42),2)</f>
        <v/>
      </c>
      <c r="Z42">
        <f>IF(Policies!I42="",0.02,Policies!I42)</f>
        <v/>
      </c>
      <c r="AA42">
        <f>IFERROR(VLOOKUP(Z42,HurrDedTable,2,FALSE),1)</f>
        <v/>
      </c>
      <c r="AB42">
        <f>IFERROR(INDEX(RateTables!$L$31:$L$33,MATCH(Policies!K42,RateTables!$K$31:$K$33,0)),1)</f>
        <v/>
      </c>
      <c r="AC42">
        <f>ROUND(F42*D42*J42*AA42*AB42,2)</f>
        <v/>
      </c>
      <c r="AD42">
        <f>MIN(AC42,Policies!G42*HurrCapPct)</f>
        <v/>
      </c>
      <c r="AE42">
        <f>Y42+AD42</f>
        <v/>
      </c>
      <c r="AF42" s="1">
        <f>EDATE(Policies!M42,Policies!N42)</f>
        <v/>
      </c>
      <c r="AG42">
        <f>ROUND(YEARFRAC(Policies!M42,AF42,3),4)</f>
        <v/>
      </c>
      <c r="AH42">
        <f>ROUND(AE42*AG42,2)</f>
        <v/>
      </c>
      <c r="AI42">
        <f>MAX(AH42,MinPremium)</f>
        <v/>
      </c>
      <c r="AJ42">
        <f>ROUNDUP(AI42,0)</f>
        <v/>
      </c>
      <c r="AK42">
        <f>VLOOKUP(Policies!N42,FeeTable,2,FALSE)</f>
        <v/>
      </c>
      <c r="AL42">
        <f>ROUND(AJ42*AssessRate,2)</f>
        <v/>
      </c>
      <c r="AM42">
        <f>ROUND((AJ42+AK42)*G42,2)</f>
        <v/>
      </c>
      <c r="AN42">
        <f>AJ42+AK42+AL42+AM42</f>
        <v/>
      </c>
      <c r="AO42">
        <f>IF(OR(Policies!G42&gt;1000000,C42&gt;20,Policies!L42&gt;=3),"REFER","OK")</f>
        <v/>
      </c>
      <c r="AP42">
        <f>ROUND(AH42/D42,3)</f>
        <v/>
      </c>
      <c r="AQ42">
        <f>Policies!B42&amp;"-"&amp;LEFT(Policies!C42,1)&amp;TEXT(Policies!D42,"00")</f>
        <v/>
      </c>
    </row>
    <row r="43">
      <c r="A43">
        <f>Policies!A43</f>
        <v/>
      </c>
      <c r="B43">
        <f>IFERROR(DATEDIF(DATE(Policies!E43,1,1),Policies!M43,"y"),0)</f>
        <v/>
      </c>
      <c r="C43">
        <f>Policies!F43*1</f>
        <v/>
      </c>
      <c r="D43">
        <f>Policies!G43/1000</f>
        <v/>
      </c>
      <c r="E43">
        <f>VLOOKUP(Policies!B43,BaseRates,2,FALSE)</f>
        <v/>
      </c>
      <c r="F43">
        <f>VLOOKUP(Policies!B43,BaseRates,3,FALSE)</f>
        <v/>
      </c>
      <c r="G43">
        <f>VLOOKUP(Policies!B43,BaseRates,4,FALSE)</f>
        <v/>
      </c>
      <c r="H43">
        <f>ROUND(E43*D43,2)</f>
        <v/>
      </c>
      <c r="I43">
        <f>INDEX(RateTables!$B$13:$B$16,MATCH(Policies!C43,RateTables!$A$13:$A$16,0))</f>
        <v/>
      </c>
      <c r="J43">
        <f>INDEX(RateTables!$C$13:$C$16,MATCH(Policies!C43,RateTables!$A$13:$A$16,0))</f>
        <v/>
      </c>
      <c r="K43">
        <f>INDEX(RateTables!$B$19:$C$28,MATCH(Policies!D43,RateTables!$A$19:$A$28,0),IF(Policies!C43="Frame",1,2))</f>
        <v/>
      </c>
      <c r="L43">
        <f>VLOOKUP(B43,AgeBands,2,TRUE)</f>
        <v/>
      </c>
      <c r="M43">
        <f>VLOOKUP(C43,RoofBands,2,TRUE)</f>
        <v/>
      </c>
      <c r="N43">
        <f>VLOOKUP(Policies!G43,AOIBands,2,TRUE)</f>
        <v/>
      </c>
      <c r="O43">
        <f>VLOOKUP(Policies!H43,RateTables!$A$31:$B$35,2,TRUE)</f>
        <v/>
      </c>
      <c r="P43">
        <f>VLOOKUP(MIN(Policies!L43,3),ClaimsTable,2,FALSE)</f>
        <v/>
      </c>
      <c r="Q43">
        <f>ROUND(H43*I43*K43*L43*M43*N43*O43*P43,2)</f>
        <v/>
      </c>
      <c r="R43">
        <f>IF(Policies!J43="Y",1,0)</f>
        <v/>
      </c>
      <c r="S43">
        <f>IF(AND(Policies!L43=0,B43&gt;=3),1,0)</f>
        <v/>
      </c>
      <c r="T43">
        <f>IF(B43&lt;=5,1,0)</f>
        <v/>
      </c>
      <c r="U43">
        <f>IF(Policies!K43="Basic",1,0)</f>
        <v/>
      </c>
      <c r="V43">
        <f>IF(Policies!K43="Fortified",1,0)</f>
        <v/>
      </c>
      <c r="W43">
        <f>SUMPRODUCT(R43:V43,CreditPcts)</f>
        <v/>
      </c>
      <c r="X43">
        <f>MIN(W43,CreditCap)</f>
        <v/>
      </c>
      <c r="Y43">
        <f>ROUND(Q43*(1-X43),2)</f>
        <v/>
      </c>
      <c r="Z43">
        <f>IF(Policies!I43="",0.02,Policies!I43)</f>
        <v/>
      </c>
      <c r="AA43">
        <f>IFERROR(VLOOKUP(Z43,HurrDedTable,2,FALSE),1)</f>
        <v/>
      </c>
      <c r="AB43">
        <f>IFERROR(INDEX(RateTables!$L$31:$L$33,MATCH(Policies!K43,RateTables!$K$31:$K$33,0)),1)</f>
        <v/>
      </c>
      <c r="AC43">
        <f>ROUND(F43*D43*J43*AA43*AB43,2)</f>
        <v/>
      </c>
      <c r="AD43">
        <f>MIN(AC43,Policies!G43*HurrCapPct)</f>
        <v/>
      </c>
      <c r="AE43">
        <f>Y43+AD43</f>
        <v/>
      </c>
      <c r="AF43" s="1">
        <f>EDATE(Policies!M43,Policies!N43)</f>
        <v/>
      </c>
      <c r="AG43">
        <f>ROUND(YEARFRAC(Policies!M43,AF43,3),4)</f>
        <v/>
      </c>
      <c r="AH43">
        <f>ROUND(AE43*AG43,2)</f>
        <v/>
      </c>
      <c r="AI43">
        <f>MAX(AH43,MinPremium)</f>
        <v/>
      </c>
      <c r="AJ43">
        <f>ROUNDUP(AI43,0)</f>
        <v/>
      </c>
      <c r="AK43">
        <f>VLOOKUP(Policies!N43,FeeTable,2,FALSE)</f>
        <v/>
      </c>
      <c r="AL43">
        <f>ROUND(AJ43*AssessRate,2)</f>
        <v/>
      </c>
      <c r="AM43">
        <f>ROUND((AJ43+AK43)*G43,2)</f>
        <v/>
      </c>
      <c r="AN43">
        <f>AJ43+AK43+AL43+AM43</f>
        <v/>
      </c>
      <c r="AO43">
        <f>IF(OR(Policies!G43&gt;1000000,C43&gt;20,Policies!L43&gt;=3),"REFER","OK")</f>
        <v/>
      </c>
      <c r="AP43">
        <f>ROUND(AH43/D43,3)</f>
        <v/>
      </c>
      <c r="AQ43">
        <f>Policies!B43&amp;"-"&amp;LEFT(Policies!C43,1)&amp;TEXT(Policies!D43,"00")</f>
        <v/>
      </c>
    </row>
    <row r="44">
      <c r="A44">
        <f>Policies!A44</f>
        <v/>
      </c>
      <c r="B44">
        <f>IFERROR(DATEDIF(DATE(Policies!E44,1,1),Policies!M44,"y"),0)</f>
        <v/>
      </c>
      <c r="C44">
        <f>Policies!F44*1</f>
        <v/>
      </c>
      <c r="D44">
        <f>Policies!G44/1000</f>
        <v/>
      </c>
      <c r="E44">
        <f>VLOOKUP(Policies!B44,BaseRates,2,FALSE)</f>
        <v/>
      </c>
      <c r="F44">
        <f>VLOOKUP(Policies!B44,BaseRates,3,FALSE)</f>
        <v/>
      </c>
      <c r="G44">
        <f>VLOOKUP(Policies!B44,BaseRates,4,FALSE)</f>
        <v/>
      </c>
      <c r="H44">
        <f>ROUND(E44*D44,2)</f>
        <v/>
      </c>
      <c r="I44">
        <f>INDEX(RateTables!$B$13:$B$16,MATCH(Policies!C44,RateTables!$A$13:$A$16,0))</f>
        <v/>
      </c>
      <c r="J44">
        <f>INDEX(RateTables!$C$13:$C$16,MATCH(Policies!C44,RateTables!$A$13:$A$16,0))</f>
        <v/>
      </c>
      <c r="K44">
        <f>INDEX(RateTables!$B$19:$C$28,MATCH(Policies!D44,RateTables!$A$19:$A$28,0),IF(Policies!C44="Frame",1,2))</f>
        <v/>
      </c>
      <c r="L44">
        <f>VLOOKUP(B44,AgeBands,2,TRUE)</f>
        <v/>
      </c>
      <c r="M44">
        <f>VLOOKUP(C44,RoofBands,2,TRUE)</f>
        <v/>
      </c>
      <c r="N44">
        <f>VLOOKUP(Policies!G44,AOIBands,2,TRUE)</f>
        <v/>
      </c>
      <c r="O44">
        <f>VLOOKUP(Policies!H44,RateTables!$A$31:$B$35,2,TRUE)</f>
        <v/>
      </c>
      <c r="P44">
        <f>VLOOKUP(MIN(Policies!L44,3),ClaimsTable,2,FALSE)</f>
        <v/>
      </c>
      <c r="Q44">
        <f>ROUND(H44*I44*K44*L44*M44*N44*O44*P44,2)</f>
        <v/>
      </c>
      <c r="R44">
        <f>IF(Policies!J44="Y",1,0)</f>
        <v/>
      </c>
      <c r="S44">
        <f>IF(AND(Policies!L44=0,B44&gt;=3),1,0)</f>
        <v/>
      </c>
      <c r="T44">
        <f>IF(B44&lt;=5,1,0)</f>
        <v/>
      </c>
      <c r="U44">
        <f>IF(Policies!K44="Basic",1,0)</f>
        <v/>
      </c>
      <c r="V44">
        <f>IF(Policies!K44="Fortified",1,0)</f>
        <v/>
      </c>
      <c r="W44">
        <f>SUMPRODUCT(R44:V44,CreditPcts)</f>
        <v/>
      </c>
      <c r="X44">
        <f>MIN(W44,CreditCap)</f>
        <v/>
      </c>
      <c r="Y44">
        <f>ROUND(Q44*(1-X44),2)</f>
        <v/>
      </c>
      <c r="Z44">
        <f>IF(Policies!I44="",0.02,Policies!I44)</f>
        <v/>
      </c>
      <c r="AA44">
        <f>IFERROR(VLOOKUP(Z44,HurrDedTable,2,FALSE),1)</f>
        <v/>
      </c>
      <c r="AB44">
        <f>IFERROR(INDEX(RateTables!$L$31:$L$33,MATCH(Policies!K44,RateTables!$K$31:$K$33,0)),1)</f>
        <v/>
      </c>
      <c r="AC44">
        <f>ROUND(F44*D44*J44*AA44*AB44,2)</f>
        <v/>
      </c>
      <c r="AD44">
        <f>MIN(AC44,Policies!G44*HurrCapPct)</f>
        <v/>
      </c>
      <c r="AE44">
        <f>Y44+AD44</f>
        <v/>
      </c>
      <c r="AF44" s="1">
        <f>EDATE(Policies!M44,Policies!N44)</f>
        <v/>
      </c>
      <c r="AG44">
        <f>ROUND(YEARFRAC(Policies!M44,AF44,3),4)</f>
        <v/>
      </c>
      <c r="AH44">
        <f>ROUND(AE44*AG44,2)</f>
        <v/>
      </c>
      <c r="AI44">
        <f>MAX(AH44,MinPremium)</f>
        <v/>
      </c>
      <c r="AJ44">
        <f>ROUNDUP(AI44,0)</f>
        <v/>
      </c>
      <c r="AK44">
        <f>VLOOKUP(Policies!N44,FeeTable,2,FALSE)</f>
        <v/>
      </c>
      <c r="AL44">
        <f>ROUND(AJ44*AssessRate,2)</f>
        <v/>
      </c>
      <c r="AM44">
        <f>ROUND((AJ44+AK44)*G44,2)</f>
        <v/>
      </c>
      <c r="AN44">
        <f>AJ44+AK44+AL44+AM44</f>
        <v/>
      </c>
      <c r="AO44">
        <f>IF(OR(Policies!G44&gt;1000000,C44&gt;20,Policies!L44&gt;=3),"REFER","OK")</f>
        <v/>
      </c>
      <c r="AP44">
        <f>ROUND(AH44/D44,3)</f>
        <v/>
      </c>
      <c r="AQ44">
        <f>Policies!B44&amp;"-"&amp;LEFT(Policies!C44,1)&amp;TEXT(Policies!D44,"00")</f>
        <v/>
      </c>
    </row>
    <row r="45">
      <c r="A45">
        <f>Policies!A45</f>
        <v/>
      </c>
      <c r="B45">
        <f>IFERROR(DATEDIF(DATE(Policies!E45,1,1),Policies!M45,"y"),0)</f>
        <v/>
      </c>
      <c r="C45">
        <f>Policies!F45*1</f>
        <v/>
      </c>
      <c r="D45">
        <f>Policies!G45/1000</f>
        <v/>
      </c>
      <c r="E45">
        <f>VLOOKUP(Policies!B45,BaseRates,2,FALSE)</f>
        <v/>
      </c>
      <c r="F45">
        <f>VLOOKUP(Policies!B45,BaseRates,3,FALSE)</f>
        <v/>
      </c>
      <c r="G45">
        <f>VLOOKUP(Policies!B45,BaseRates,4,FALSE)</f>
        <v/>
      </c>
      <c r="H45">
        <f>ROUND(E45*D45,2)</f>
        <v/>
      </c>
      <c r="I45">
        <f>INDEX(RateTables!$B$13:$B$16,MATCH(Policies!C45,RateTables!$A$13:$A$16,0))</f>
        <v/>
      </c>
      <c r="J45">
        <f>INDEX(RateTables!$C$13:$C$16,MATCH(Policies!C45,RateTables!$A$13:$A$16,0))</f>
        <v/>
      </c>
      <c r="K45">
        <f>INDEX(RateTables!$B$19:$C$28,MATCH(Policies!D45,RateTables!$A$19:$A$28,0),IF(Policies!C45="Frame",1,2))</f>
        <v/>
      </c>
      <c r="L45">
        <f>VLOOKUP(B45,AgeBands,2,TRUE)</f>
        <v/>
      </c>
      <c r="M45">
        <f>VLOOKUP(C45,RoofBands,2,TRUE)</f>
        <v/>
      </c>
      <c r="N45">
        <f>VLOOKUP(Policies!G45,AOIBands,2,TRUE)</f>
        <v/>
      </c>
      <c r="O45">
        <f>VLOOKUP(Policies!H45,RateTables!$A$31:$B$35,2,TRUE)</f>
        <v/>
      </c>
      <c r="P45">
        <f>VLOOKUP(MIN(Policies!L45,3),ClaimsTable,2,FALSE)</f>
        <v/>
      </c>
      <c r="Q45">
        <f>ROUND(H45*I45*K45*L45*M45*N45*O45*P45,2)</f>
        <v/>
      </c>
      <c r="R45">
        <f>IF(Policies!J45="Y",1,0)</f>
        <v/>
      </c>
      <c r="S45">
        <f>IF(AND(Policies!L45=0,B45&gt;=3),1,0)</f>
        <v/>
      </c>
      <c r="T45">
        <f>IF(B45&lt;=5,1,0)</f>
        <v/>
      </c>
      <c r="U45">
        <f>IF(Policies!K45="Basic",1,0)</f>
        <v/>
      </c>
      <c r="V45">
        <f>IF(Policies!K45="Fortified",1,0)</f>
        <v/>
      </c>
      <c r="W45">
        <f>SUMPRODUCT(R45:V45,CreditPcts)</f>
        <v/>
      </c>
      <c r="X45">
        <f>MIN(W45,CreditCap)</f>
        <v/>
      </c>
      <c r="Y45">
        <f>ROUND(Q45*(1-X45),2)</f>
        <v/>
      </c>
      <c r="Z45">
        <f>IF(Policies!I45="",0.02,Policies!I45)</f>
        <v/>
      </c>
      <c r="AA45">
        <f>IFERROR(VLOOKUP(Z45,HurrDedTable,2,FALSE),1)</f>
        <v/>
      </c>
      <c r="AB45">
        <f>IFERROR(INDEX(RateTables!$L$31:$L$33,MATCH(Policies!K45,RateTables!$K$31:$K$33,0)),1)</f>
        <v/>
      </c>
      <c r="AC45">
        <f>ROUND(F45*D45*J45*AA45*AB45,2)</f>
        <v/>
      </c>
      <c r="AD45">
        <f>MIN(AC45,Policies!G45*HurrCapPct)</f>
        <v/>
      </c>
      <c r="AE45">
        <f>Y45+AD45</f>
        <v/>
      </c>
      <c r="AF45" s="1">
        <f>EDATE(Policies!M45,Policies!N45)</f>
        <v/>
      </c>
      <c r="AG45">
        <f>ROUND(YEARFRAC(Policies!M45,AF45,3),4)</f>
        <v/>
      </c>
      <c r="AH45">
        <f>ROUND(AE45*AG45,2)</f>
        <v/>
      </c>
      <c r="AI45">
        <f>MAX(AH45,MinPremium)</f>
        <v/>
      </c>
      <c r="AJ45">
        <f>ROUNDUP(AI45,0)</f>
        <v/>
      </c>
      <c r="AK45">
        <f>VLOOKUP(Policies!N45,FeeTable,2,FALSE)</f>
        <v/>
      </c>
      <c r="AL45">
        <f>ROUND(AJ45*AssessRate,2)</f>
        <v/>
      </c>
      <c r="AM45">
        <f>ROUND((AJ45+AK45)*G45,2)</f>
        <v/>
      </c>
      <c r="AN45">
        <f>AJ45+AK45+AL45+AM45</f>
        <v/>
      </c>
      <c r="AO45">
        <f>IF(OR(Policies!G45&gt;1000000,C45&gt;20,Policies!L45&gt;=3),"REFER","OK")</f>
        <v/>
      </c>
      <c r="AP45">
        <f>ROUND(AH45/D45,3)</f>
        <v/>
      </c>
      <c r="AQ45">
        <f>Policies!B45&amp;"-"&amp;LEFT(Policies!C45,1)&amp;TEXT(Policies!D45,"00")</f>
        <v/>
      </c>
    </row>
    <row r="46">
      <c r="A46">
        <f>Policies!A46</f>
        <v/>
      </c>
      <c r="B46">
        <f>IFERROR(DATEDIF(DATE(Policies!E46,1,1),Policies!M46,"y"),0)</f>
        <v/>
      </c>
      <c r="C46">
        <f>Policies!F46*1</f>
        <v/>
      </c>
      <c r="D46">
        <f>Policies!G46/1000</f>
        <v/>
      </c>
      <c r="E46">
        <f>VLOOKUP(Policies!B46,BaseRates,2,FALSE)</f>
        <v/>
      </c>
      <c r="F46">
        <f>VLOOKUP(Policies!B46,BaseRates,3,FALSE)</f>
        <v/>
      </c>
      <c r="G46">
        <f>VLOOKUP(Policies!B46,BaseRates,4,FALSE)</f>
        <v/>
      </c>
      <c r="H46">
        <f>ROUND(E46*D46,2)</f>
        <v/>
      </c>
      <c r="I46">
        <f>INDEX(RateTables!$B$13:$B$16,MATCH(Policies!C46,RateTables!$A$13:$A$16,0))</f>
        <v/>
      </c>
      <c r="J46">
        <f>INDEX(RateTables!$C$13:$C$16,MATCH(Policies!C46,RateTables!$A$13:$A$16,0))</f>
        <v/>
      </c>
      <c r="K46">
        <f>INDEX(RateTables!$B$19:$C$28,MATCH(Policies!D46,RateTables!$A$19:$A$28,0),IF(Policies!C46="Frame",1,2))</f>
        <v/>
      </c>
      <c r="L46">
        <f>VLOOKUP(B46,AgeBands,2,TRUE)</f>
        <v/>
      </c>
      <c r="M46">
        <f>VLOOKUP(C46,RoofBands,2,TRUE)</f>
        <v/>
      </c>
      <c r="N46">
        <f>VLOOKUP(Policies!G46,AOIBands,2,TRUE)</f>
        <v/>
      </c>
      <c r="O46">
        <f>VLOOKUP(Policies!H46,RateTables!$A$31:$B$35,2,TRUE)</f>
        <v/>
      </c>
      <c r="P46">
        <f>VLOOKUP(MIN(Policies!L46,3),ClaimsTable,2,FALSE)</f>
        <v/>
      </c>
      <c r="Q46">
        <f>ROUND(H46*I46*K46*L46*M46*N46*O46*P46,2)</f>
        <v/>
      </c>
      <c r="R46">
        <f>IF(Policies!J46="Y",1,0)</f>
        <v/>
      </c>
      <c r="S46">
        <f>IF(AND(Policies!L46=0,B46&gt;=3),1,0)</f>
        <v/>
      </c>
      <c r="T46">
        <f>IF(B46&lt;=5,1,0)</f>
        <v/>
      </c>
      <c r="U46">
        <f>IF(Policies!K46="Basic",1,0)</f>
        <v/>
      </c>
      <c r="V46">
        <f>IF(Policies!K46="Fortified",1,0)</f>
        <v/>
      </c>
      <c r="W46">
        <f>SUMPRODUCT(R46:V46,CreditPcts)</f>
        <v/>
      </c>
      <c r="X46">
        <f>MIN(W46,CreditCap)</f>
        <v/>
      </c>
      <c r="Y46">
        <f>ROUND(Q46*(1-X46),2)</f>
        <v/>
      </c>
      <c r="Z46">
        <f>IF(Policies!I46="",0.02,Policies!I46)</f>
        <v/>
      </c>
      <c r="AA46">
        <f>IFERROR(VLOOKUP(Z46,HurrDedTable,2,FALSE),1)</f>
        <v/>
      </c>
      <c r="AB46">
        <f>IFERROR(INDEX(RateTables!$L$31:$L$33,MATCH(Policies!K46,RateTables!$K$31:$K$33,0)),1)</f>
        <v/>
      </c>
      <c r="AC46">
        <f>ROUND(F46*D46*J46*AA46*AB46,2)</f>
        <v/>
      </c>
      <c r="AD46">
        <f>MIN(AC46,Policies!G46*HurrCapPct)</f>
        <v/>
      </c>
      <c r="AE46">
        <f>Y46+AD46</f>
        <v/>
      </c>
      <c r="AF46" s="1">
        <f>EDATE(Policies!M46,Policies!N46)</f>
        <v/>
      </c>
      <c r="AG46">
        <f>ROUND(YEARFRAC(Policies!M46,AF46,3),4)</f>
        <v/>
      </c>
      <c r="AH46">
        <f>ROUND(AE46*AG46,2)</f>
        <v/>
      </c>
      <c r="AI46">
        <f>MAX(AH46,MinPremium)</f>
        <v/>
      </c>
      <c r="AJ46">
        <f>ROUNDUP(AI46,0)</f>
        <v/>
      </c>
      <c r="AK46">
        <f>VLOOKUP(Policies!N46,FeeTable,2,FALSE)</f>
        <v/>
      </c>
      <c r="AL46">
        <f>ROUND(AJ46*AssessRate,2)</f>
        <v/>
      </c>
      <c r="AM46">
        <f>ROUND((AJ46+AK46)*G46,2)</f>
        <v/>
      </c>
      <c r="AN46">
        <f>AJ46+AK46+AL46+AM46</f>
        <v/>
      </c>
      <c r="AO46">
        <f>IF(OR(Policies!G46&gt;1000000,C46&gt;20,Policies!L46&gt;=3),"REFER","OK")</f>
        <v/>
      </c>
      <c r="AP46">
        <f>ROUND(AH46/D46,3)</f>
        <v/>
      </c>
      <c r="AQ46">
        <f>Policies!B46&amp;"-"&amp;LEFT(Policies!C46,1)&amp;TEXT(Policies!D46,"00")</f>
        <v/>
      </c>
    </row>
    <row r="47">
      <c r="A47">
        <f>Policies!A47</f>
        <v/>
      </c>
      <c r="B47">
        <f>IFERROR(DATEDIF(DATE(Policies!E47,1,1),Policies!M47,"y"),0)</f>
        <v/>
      </c>
      <c r="C47">
        <f>Policies!F47*1</f>
        <v/>
      </c>
      <c r="D47">
        <f>Policies!G47/1000</f>
        <v/>
      </c>
      <c r="E47">
        <f>VLOOKUP(Policies!B47,BaseRates,2,FALSE)</f>
        <v/>
      </c>
      <c r="F47">
        <f>VLOOKUP(Policies!B47,BaseRates,3,FALSE)</f>
        <v/>
      </c>
      <c r="G47">
        <f>VLOOKUP(Policies!B47,BaseRates,4,FALSE)</f>
        <v/>
      </c>
      <c r="H47">
        <f>ROUND(E47*D47,2)</f>
        <v/>
      </c>
      <c r="I47">
        <f>INDEX(RateTables!$B$13:$B$16,MATCH(Policies!C47,RateTables!$A$13:$A$16,0))</f>
        <v/>
      </c>
      <c r="J47">
        <f>INDEX(RateTables!$C$13:$C$16,MATCH(Policies!C47,RateTables!$A$13:$A$16,0))</f>
        <v/>
      </c>
      <c r="K47">
        <f>INDEX(RateTables!$B$19:$C$28,MATCH(Policies!D47,RateTables!$A$19:$A$28,0),IF(Policies!C47="Frame",1,2))</f>
        <v/>
      </c>
      <c r="L47">
        <f>VLOOKUP(B47,AgeBands,2,TRUE)</f>
        <v/>
      </c>
      <c r="M47">
        <f>VLOOKUP(C47,RoofBands,2,TRUE)</f>
        <v/>
      </c>
      <c r="N47">
        <f>VLOOKUP(Policies!G47,AOIBands,2,TRUE)</f>
        <v/>
      </c>
      <c r="O47">
        <f>VLOOKUP(Policies!H47,RateTables!$A$31:$B$35,2,TRUE)</f>
        <v/>
      </c>
      <c r="P47">
        <f>VLOOKUP(MIN(Policies!L47,3),ClaimsTable,2,FALSE)</f>
        <v/>
      </c>
      <c r="Q47">
        <f>ROUND(H47*I47*K47*L47*M47*N47*O47*P47,2)</f>
        <v/>
      </c>
      <c r="R47">
        <f>IF(Policies!J47="Y",1,0)</f>
        <v/>
      </c>
      <c r="S47">
        <f>IF(AND(Policies!L47=0,B47&gt;=3),1,0)</f>
        <v/>
      </c>
      <c r="T47">
        <f>IF(B47&lt;=5,1,0)</f>
        <v/>
      </c>
      <c r="U47">
        <f>IF(Policies!K47="Basic",1,0)</f>
        <v/>
      </c>
      <c r="V47">
        <f>IF(Policies!K47="Fortified",1,0)</f>
        <v/>
      </c>
      <c r="W47">
        <f>SUMPRODUCT(R47:V47,CreditPcts)</f>
        <v/>
      </c>
      <c r="X47">
        <f>MIN(W47,CreditCap)</f>
        <v/>
      </c>
      <c r="Y47">
        <f>ROUND(Q47*(1-X47),2)</f>
        <v/>
      </c>
      <c r="Z47">
        <f>IF(Policies!I47="",0.02,Policies!I47)</f>
        <v/>
      </c>
      <c r="AA47">
        <f>IFERROR(VLOOKUP(Z47,HurrDedTable,2,FALSE),1)</f>
        <v/>
      </c>
      <c r="AB47">
        <f>IFERROR(INDEX(RateTables!$L$31:$L$33,MATCH(Policies!K47,RateTables!$K$31:$K$33,0)),1)</f>
        <v/>
      </c>
      <c r="AC47">
        <f>ROUND(F47*D47*J47*AA47*AB47,2)</f>
        <v/>
      </c>
      <c r="AD47">
        <f>MIN(AC47,Policies!G47*HurrCapPct)</f>
        <v/>
      </c>
      <c r="AE47">
        <f>Y47+AD47</f>
        <v/>
      </c>
      <c r="AF47" s="1">
        <f>EDATE(Policies!M47,Policies!N47)</f>
        <v/>
      </c>
      <c r="AG47">
        <f>ROUND(YEARFRAC(Policies!M47,AF47,3),4)</f>
        <v/>
      </c>
      <c r="AH47">
        <f>ROUND(AE47*AG47,2)</f>
        <v/>
      </c>
      <c r="AI47">
        <f>MAX(AH47,MinPremium)</f>
        <v/>
      </c>
      <c r="AJ47">
        <f>ROUNDUP(AI47,0)</f>
        <v/>
      </c>
      <c r="AK47">
        <f>VLOOKUP(Policies!N47,FeeTable,2,FALSE)</f>
        <v/>
      </c>
      <c r="AL47">
        <f>ROUND(AJ47*AssessRate,2)</f>
        <v/>
      </c>
      <c r="AM47">
        <f>ROUND((AJ47+AK47)*G47,2)</f>
        <v/>
      </c>
      <c r="AN47">
        <f>AJ47+AK47+AL47+AM47</f>
        <v/>
      </c>
      <c r="AO47">
        <f>IF(OR(Policies!G47&gt;1000000,C47&gt;20,Policies!L47&gt;=3),"REFER","OK")</f>
        <v/>
      </c>
      <c r="AP47">
        <f>ROUND(AH47/D47,3)</f>
        <v/>
      </c>
      <c r="AQ47">
        <f>Policies!B47&amp;"-"&amp;LEFT(Policies!C47,1)&amp;TEXT(Policies!D47,"00")</f>
        <v/>
      </c>
    </row>
    <row r="48">
      <c r="A48">
        <f>Policies!A48</f>
        <v/>
      </c>
      <c r="B48">
        <f>IFERROR(DATEDIF(DATE(Policies!E48,1,1),Policies!M48,"y"),0)</f>
        <v/>
      </c>
      <c r="C48">
        <f>Policies!F48*1</f>
        <v/>
      </c>
      <c r="D48">
        <f>Policies!G48/1000</f>
        <v/>
      </c>
      <c r="E48">
        <f>VLOOKUP(Policies!B48,BaseRates,2,FALSE)</f>
        <v/>
      </c>
      <c r="F48">
        <f>VLOOKUP(Policies!B48,BaseRates,3,FALSE)</f>
        <v/>
      </c>
      <c r="G48">
        <f>VLOOKUP(Policies!B48,BaseRates,4,FALSE)</f>
        <v/>
      </c>
      <c r="H48">
        <f>ROUND(E48*D48,2)</f>
        <v/>
      </c>
      <c r="I48">
        <f>INDEX(RateTables!$B$13:$B$16,MATCH(Policies!C48,RateTables!$A$13:$A$16,0))</f>
        <v/>
      </c>
      <c r="J48">
        <f>INDEX(RateTables!$C$13:$C$16,MATCH(Policies!C48,RateTables!$A$13:$A$16,0))</f>
        <v/>
      </c>
      <c r="K48">
        <f>INDEX(RateTables!$B$19:$C$28,MATCH(Policies!D48,RateTables!$A$19:$A$28,0),IF(Policies!C48="Frame",1,2))</f>
        <v/>
      </c>
      <c r="L48">
        <f>VLOOKUP(B48,AgeBands,2,TRUE)</f>
        <v/>
      </c>
      <c r="M48">
        <f>VLOOKUP(C48,RoofBands,2,TRUE)</f>
        <v/>
      </c>
      <c r="N48">
        <f>VLOOKUP(Policies!G48,AOIBands,2,TRUE)</f>
        <v/>
      </c>
      <c r="O48">
        <f>VLOOKUP(Policies!H48,RateTables!$A$31:$B$35,2,TRUE)</f>
        <v/>
      </c>
      <c r="P48">
        <f>VLOOKUP(MIN(Policies!L48,3),ClaimsTable,2,FALSE)</f>
        <v/>
      </c>
      <c r="Q48">
        <f>ROUND(H48*I48*K48*L48*M48*N48*O48*P48,2)</f>
        <v/>
      </c>
      <c r="R48">
        <f>IF(Policies!J48="Y",1,0)</f>
        <v/>
      </c>
      <c r="S48">
        <f>IF(AND(Policies!L48=0,B48&gt;=3),1,0)</f>
        <v/>
      </c>
      <c r="T48">
        <f>IF(B48&lt;=5,1,0)</f>
        <v/>
      </c>
      <c r="U48">
        <f>IF(Policies!K48="Basic",1,0)</f>
        <v/>
      </c>
      <c r="V48">
        <f>IF(Policies!K48="Fortified",1,0)</f>
        <v/>
      </c>
      <c r="W48">
        <f>SUMPRODUCT(R48:V48,CreditPcts)</f>
        <v/>
      </c>
      <c r="X48">
        <f>MIN(W48,CreditCap)</f>
        <v/>
      </c>
      <c r="Y48">
        <f>ROUND(Q48*(1-X48),2)</f>
        <v/>
      </c>
      <c r="Z48">
        <f>IF(Policies!I48="",0.02,Policies!I48)</f>
        <v/>
      </c>
      <c r="AA48">
        <f>IFERROR(VLOOKUP(Z48,HurrDedTable,2,FALSE),1)</f>
        <v/>
      </c>
      <c r="AB48">
        <f>IFERROR(INDEX(RateTables!$L$31:$L$33,MATCH(Policies!K48,RateTables!$K$31:$K$33,0)),1)</f>
        <v/>
      </c>
      <c r="AC48">
        <f>ROUND(F48*D48*J48*AA48*AB48,2)</f>
        <v/>
      </c>
      <c r="AD48">
        <f>MIN(AC48,Policies!G48*HurrCapPct)</f>
        <v/>
      </c>
      <c r="AE48">
        <f>Y48+AD48</f>
        <v/>
      </c>
      <c r="AF48" s="1">
        <f>EDATE(Policies!M48,Policies!N48)</f>
        <v/>
      </c>
      <c r="AG48">
        <f>ROUND(YEARFRAC(Policies!M48,AF48,3),4)</f>
        <v/>
      </c>
      <c r="AH48">
        <f>ROUND(AE48*AG48,2)</f>
        <v/>
      </c>
      <c r="AI48">
        <f>MAX(AH48,MinPremium)</f>
        <v/>
      </c>
      <c r="AJ48">
        <f>ROUNDUP(AI48,0)</f>
        <v/>
      </c>
      <c r="AK48">
        <f>VLOOKUP(Policies!N48,FeeTable,2,FALSE)</f>
        <v/>
      </c>
      <c r="AL48">
        <f>ROUND(AJ48*AssessRate,2)</f>
        <v/>
      </c>
      <c r="AM48">
        <f>ROUND((AJ48+AK48)*G48,2)</f>
        <v/>
      </c>
      <c r="AN48">
        <f>AJ48+AK48+AL48+AM48</f>
        <v/>
      </c>
      <c r="AO48">
        <f>IF(OR(Policies!G48&gt;1000000,C48&gt;20,Policies!L48&gt;=3),"REFER","OK")</f>
        <v/>
      </c>
      <c r="AP48">
        <f>ROUND(AH48/D48,3)</f>
        <v/>
      </c>
      <c r="AQ48">
        <f>Policies!B48&amp;"-"&amp;LEFT(Policies!C48,1)&amp;TEXT(Policies!D48,"00")</f>
        <v/>
      </c>
    </row>
    <row r="49">
      <c r="A49">
        <f>Policies!A49</f>
        <v/>
      </c>
      <c r="B49">
        <f>IFERROR(DATEDIF(DATE(Policies!E49,1,1),Policies!M49,"y"),0)</f>
        <v/>
      </c>
      <c r="C49">
        <f>Policies!F49*1</f>
        <v/>
      </c>
      <c r="D49">
        <f>Policies!G49/1000</f>
        <v/>
      </c>
      <c r="E49">
        <f>VLOOKUP(Policies!B49,BaseRates,2,FALSE)</f>
        <v/>
      </c>
      <c r="F49">
        <f>VLOOKUP(Policies!B49,BaseRates,3,FALSE)</f>
        <v/>
      </c>
      <c r="G49">
        <f>VLOOKUP(Policies!B49,BaseRates,4,FALSE)</f>
        <v/>
      </c>
      <c r="H49">
        <f>ROUND(E49*D49,2)</f>
        <v/>
      </c>
      <c r="I49">
        <f>INDEX(RateTables!$B$13:$B$16,MATCH(Policies!C49,RateTables!$A$13:$A$16,0))</f>
        <v/>
      </c>
      <c r="J49">
        <f>INDEX(RateTables!$C$13:$C$16,MATCH(Policies!C49,RateTables!$A$13:$A$16,0))</f>
        <v/>
      </c>
      <c r="K49">
        <f>INDEX(RateTables!$B$19:$C$28,MATCH(Policies!D49,RateTables!$A$19:$A$28,0),IF(Policies!C49="Frame",1,2))</f>
        <v/>
      </c>
      <c r="L49">
        <f>VLOOKUP(B49,AgeBands,2,TRUE)</f>
        <v/>
      </c>
      <c r="M49">
        <f>VLOOKUP(C49,RoofBands,2,TRUE)</f>
        <v/>
      </c>
      <c r="N49">
        <f>VLOOKUP(Policies!G49,AOIBands,2,TRUE)</f>
        <v/>
      </c>
      <c r="O49">
        <f>VLOOKUP(Policies!H49,RateTables!$A$31:$B$35,2,TRUE)</f>
        <v/>
      </c>
      <c r="P49">
        <f>VLOOKUP(MIN(Policies!L49,3),ClaimsTable,2,FALSE)</f>
        <v/>
      </c>
      <c r="Q49">
        <f>ROUND(H49*I49*K49*L49*M49*N49*O49*P49,2)</f>
        <v/>
      </c>
      <c r="R49">
        <f>IF(Policies!J49="Y",1,0)</f>
        <v/>
      </c>
      <c r="S49">
        <f>IF(AND(Policies!L49=0,B49&gt;=3),1,0)</f>
        <v/>
      </c>
      <c r="T49">
        <f>IF(B49&lt;=5,1,0)</f>
        <v/>
      </c>
      <c r="U49">
        <f>IF(Policies!K49="Basic",1,0)</f>
        <v/>
      </c>
      <c r="V49">
        <f>IF(Policies!K49="Fortified",1,0)</f>
        <v/>
      </c>
      <c r="W49">
        <f>SUMPRODUCT(R49:V49,CreditPcts)</f>
        <v/>
      </c>
      <c r="X49">
        <f>MIN(W49,CreditCap)</f>
        <v/>
      </c>
      <c r="Y49">
        <f>ROUND(Q49*(1-X49),2)</f>
        <v/>
      </c>
      <c r="Z49">
        <f>IF(Policies!I49="",0.02,Policies!I49)</f>
        <v/>
      </c>
      <c r="AA49">
        <f>IFERROR(VLOOKUP(Z49,HurrDedTable,2,FALSE),1)</f>
        <v/>
      </c>
      <c r="AB49">
        <f>IFERROR(INDEX(RateTables!$L$31:$L$33,MATCH(Policies!K49,RateTables!$K$31:$K$33,0)),1)</f>
        <v/>
      </c>
      <c r="AC49">
        <f>ROUND(F49*D49*J49*AA49*AB49,2)</f>
        <v/>
      </c>
      <c r="AD49">
        <f>MIN(AC49,Policies!G49*HurrCapPct)</f>
        <v/>
      </c>
      <c r="AE49">
        <f>Y49+AD49</f>
        <v/>
      </c>
      <c r="AF49" s="1">
        <f>EDATE(Policies!M49,Policies!N49)</f>
        <v/>
      </c>
      <c r="AG49">
        <f>ROUND(YEARFRAC(Policies!M49,AF49,3),4)</f>
        <v/>
      </c>
      <c r="AH49">
        <f>ROUND(AE49*AG49,2)</f>
        <v/>
      </c>
      <c r="AI49">
        <f>MAX(AH49,MinPremium)</f>
        <v/>
      </c>
      <c r="AJ49">
        <f>ROUNDUP(AI49,0)</f>
        <v/>
      </c>
      <c r="AK49">
        <f>VLOOKUP(Policies!N49,FeeTable,2,FALSE)</f>
        <v/>
      </c>
      <c r="AL49">
        <f>ROUND(AJ49*AssessRate,2)</f>
        <v/>
      </c>
      <c r="AM49">
        <f>ROUND((AJ49+AK49)*G49,2)</f>
        <v/>
      </c>
      <c r="AN49">
        <f>AJ49+AK49+AL49+AM49</f>
        <v/>
      </c>
      <c r="AO49">
        <f>IF(OR(Policies!G49&gt;1000000,C49&gt;20,Policies!L49&gt;=3),"REFER","OK")</f>
        <v/>
      </c>
      <c r="AP49">
        <f>ROUND(AH49/D49,3)</f>
        <v/>
      </c>
      <c r="AQ49">
        <f>Policies!B49&amp;"-"&amp;LEFT(Policies!C49,1)&amp;TEXT(Policies!D49,"00")</f>
        <v/>
      </c>
    </row>
    <row r="50">
      <c r="A50">
        <f>Policies!A50</f>
        <v/>
      </c>
      <c r="B50">
        <f>IFERROR(DATEDIF(DATE(Policies!E50,1,1),Policies!M50,"y"),0)</f>
        <v/>
      </c>
      <c r="C50">
        <f>Policies!F50*1</f>
        <v/>
      </c>
      <c r="D50">
        <f>Policies!G50/1000</f>
        <v/>
      </c>
      <c r="E50">
        <f>VLOOKUP(Policies!B50,BaseRates,2,FALSE)</f>
        <v/>
      </c>
      <c r="F50">
        <f>VLOOKUP(Policies!B50,BaseRates,3,FALSE)</f>
        <v/>
      </c>
      <c r="G50">
        <f>VLOOKUP(Policies!B50,BaseRates,4,FALSE)</f>
        <v/>
      </c>
      <c r="H50">
        <f>ROUND(E50*D50,2)</f>
        <v/>
      </c>
      <c r="I50">
        <f>INDEX(RateTables!$B$13:$B$16,MATCH(Policies!C50,RateTables!$A$13:$A$16,0))</f>
        <v/>
      </c>
      <c r="J50">
        <f>INDEX(RateTables!$C$13:$C$16,MATCH(Policies!C50,RateTables!$A$13:$A$16,0))</f>
        <v/>
      </c>
      <c r="K50">
        <f>INDEX(RateTables!$B$19:$C$28,MATCH(Policies!D50,RateTables!$A$19:$A$28,0),IF(Policies!C50="Frame",1,2))</f>
        <v/>
      </c>
      <c r="L50">
        <f>VLOOKUP(B50,AgeBands,2,TRUE)</f>
        <v/>
      </c>
      <c r="M50">
        <f>VLOOKUP(C50,RoofBands,2,TRUE)</f>
        <v/>
      </c>
      <c r="N50">
        <f>VLOOKUP(Policies!G50,AOIBands,2,TRUE)</f>
        <v/>
      </c>
      <c r="O50">
        <f>VLOOKUP(Policies!H50,RateTables!$A$31:$B$35,2,TRUE)</f>
        <v/>
      </c>
      <c r="P50">
        <f>VLOOKUP(MIN(Policies!L50,3),ClaimsTable,2,FALSE)</f>
        <v/>
      </c>
      <c r="Q50">
        <f>ROUND(H50*I50*K50*L50*M50*N50*O50*P50,2)</f>
        <v/>
      </c>
      <c r="R50">
        <f>IF(Policies!J50="Y",1,0)</f>
        <v/>
      </c>
      <c r="S50">
        <f>IF(AND(Policies!L50=0,B50&gt;=3),1,0)</f>
        <v/>
      </c>
      <c r="T50">
        <f>IF(B50&lt;=5,1,0)</f>
        <v/>
      </c>
      <c r="U50">
        <f>IF(Policies!K50="Basic",1,0)</f>
        <v/>
      </c>
      <c r="V50">
        <f>IF(Policies!K50="Fortified",1,0)</f>
        <v/>
      </c>
      <c r="W50">
        <f>SUMPRODUCT(R50:V50,CreditPcts)</f>
        <v/>
      </c>
      <c r="X50">
        <f>MIN(W50,CreditCap)</f>
        <v/>
      </c>
      <c r="Y50">
        <f>ROUND(Q50*(1-X50),2)</f>
        <v/>
      </c>
      <c r="Z50">
        <f>IF(Policies!I50="",0.02,Policies!I50)</f>
        <v/>
      </c>
      <c r="AA50">
        <f>IFERROR(VLOOKUP(Z50,HurrDedTable,2,FALSE),1)</f>
        <v/>
      </c>
      <c r="AB50">
        <f>IFERROR(INDEX(RateTables!$L$31:$L$33,MATCH(Policies!K50,RateTables!$K$31:$K$33,0)),1)</f>
        <v/>
      </c>
      <c r="AC50">
        <f>ROUND(F50*D50*J50*AA50*AB50,2)</f>
        <v/>
      </c>
      <c r="AD50">
        <f>MIN(AC50,Policies!G50*HurrCapPct)</f>
        <v/>
      </c>
      <c r="AE50">
        <f>Y50+AD50</f>
        <v/>
      </c>
      <c r="AF50" s="1">
        <f>EDATE(Policies!M50,Policies!N50)</f>
        <v/>
      </c>
      <c r="AG50">
        <f>ROUND(YEARFRAC(Policies!M50,AF50,3),4)</f>
        <v/>
      </c>
      <c r="AH50">
        <f>ROUND(AE50*AG50,2)</f>
        <v/>
      </c>
      <c r="AI50">
        <f>MAX(AH50,MinPremium)</f>
        <v/>
      </c>
      <c r="AJ50">
        <f>ROUNDUP(AI50,0)</f>
        <v/>
      </c>
      <c r="AK50">
        <f>VLOOKUP(Policies!N50,FeeTable,2,FALSE)</f>
        <v/>
      </c>
      <c r="AL50">
        <f>ROUND(AJ50*AssessRate,2)</f>
        <v/>
      </c>
      <c r="AM50">
        <f>ROUND((AJ50+AK50)*G50,2)</f>
        <v/>
      </c>
      <c r="AN50">
        <f>AJ50+AK50+AL50+AM50</f>
        <v/>
      </c>
      <c r="AO50">
        <f>IF(OR(Policies!G50&gt;1000000,C50&gt;20,Policies!L50&gt;=3),"REFER","OK")</f>
        <v/>
      </c>
      <c r="AP50">
        <f>ROUND(AH50/D50,3)</f>
        <v/>
      </c>
      <c r="AQ50">
        <f>Policies!B50&amp;"-"&amp;LEFT(Policies!C50,1)&amp;TEXT(Policies!D50,"00")</f>
        <v/>
      </c>
    </row>
    <row r="51">
      <c r="A51">
        <f>Policies!A51</f>
        <v/>
      </c>
      <c r="B51">
        <f>IFERROR(DATEDIF(DATE(Policies!E51,1,1),Policies!M51,"y"),0)</f>
        <v/>
      </c>
      <c r="C51">
        <f>Policies!F51*1</f>
        <v/>
      </c>
      <c r="D51">
        <f>Policies!G51/1000</f>
        <v/>
      </c>
      <c r="E51">
        <f>VLOOKUP(Policies!B51,BaseRates,2,FALSE)</f>
        <v/>
      </c>
      <c r="F51">
        <f>VLOOKUP(Policies!B51,BaseRates,3,FALSE)</f>
        <v/>
      </c>
      <c r="G51">
        <f>VLOOKUP(Policies!B51,BaseRates,4,FALSE)</f>
        <v/>
      </c>
      <c r="H51">
        <f>ROUND(E51*D51,2)</f>
        <v/>
      </c>
      <c r="I51">
        <f>INDEX(RateTables!$B$13:$B$16,MATCH(Policies!C51,RateTables!$A$13:$A$16,0))</f>
        <v/>
      </c>
      <c r="J51">
        <f>INDEX(RateTables!$C$13:$C$16,MATCH(Policies!C51,RateTables!$A$13:$A$16,0))</f>
        <v/>
      </c>
      <c r="K51">
        <f>INDEX(RateTables!$B$19:$C$28,MATCH(Policies!D51,RateTables!$A$19:$A$28,0),IF(Policies!C51="Frame",1,2))</f>
        <v/>
      </c>
      <c r="L51">
        <f>VLOOKUP(B51,AgeBands,2,TRUE)</f>
        <v/>
      </c>
      <c r="M51">
        <f>VLOOKUP(C51,RoofBands,2,TRUE)</f>
        <v/>
      </c>
      <c r="N51">
        <f>VLOOKUP(Policies!G51,AOIBands,2,TRUE)</f>
        <v/>
      </c>
      <c r="O51">
        <f>VLOOKUP(Policies!H51,RateTables!$A$31:$B$35,2,TRUE)</f>
        <v/>
      </c>
      <c r="P51">
        <f>VLOOKUP(MIN(Policies!L51,3),ClaimsTable,2,FALSE)</f>
        <v/>
      </c>
      <c r="Q51">
        <f>ROUND(H51*I51*K51*L51*M51*N51*O51*P51,2)</f>
        <v/>
      </c>
      <c r="R51">
        <f>IF(Policies!J51="Y",1,0)</f>
        <v/>
      </c>
      <c r="S51">
        <f>IF(AND(Policies!L51=0,B51&gt;=3),1,0)</f>
        <v/>
      </c>
      <c r="T51">
        <f>IF(B51&lt;=5,1,0)</f>
        <v/>
      </c>
      <c r="U51">
        <f>IF(Policies!K51="Basic",1,0)</f>
        <v/>
      </c>
      <c r="V51">
        <f>IF(Policies!K51="Fortified",1,0)</f>
        <v/>
      </c>
      <c r="W51">
        <f>SUMPRODUCT(R51:V51,CreditPcts)</f>
        <v/>
      </c>
      <c r="X51">
        <f>MIN(W51,CreditCap)</f>
        <v/>
      </c>
      <c r="Y51">
        <f>ROUND(Q51*(1-X51),2)</f>
        <v/>
      </c>
      <c r="Z51">
        <f>IF(Policies!I51="",0.02,Policies!I51)</f>
        <v/>
      </c>
      <c r="AA51">
        <f>IFERROR(VLOOKUP(Z51,HurrDedTable,2,FALSE),1)</f>
        <v/>
      </c>
      <c r="AB51">
        <f>IFERROR(INDEX(RateTables!$L$31:$L$33,MATCH(Policies!K51,RateTables!$K$31:$K$33,0)),1)</f>
        <v/>
      </c>
      <c r="AC51">
        <f>ROUND(F51*D51*J51*AA51*AB51,2)</f>
        <v/>
      </c>
      <c r="AD51">
        <f>MIN(AC51,Policies!G51*HurrCapPct)</f>
        <v/>
      </c>
      <c r="AE51">
        <f>Y51+AD51</f>
        <v/>
      </c>
      <c r="AF51" s="1">
        <f>EDATE(Policies!M51,Policies!N51)</f>
        <v/>
      </c>
      <c r="AG51">
        <f>ROUND(YEARFRAC(Policies!M51,AF51,3),4)</f>
        <v/>
      </c>
      <c r="AH51">
        <f>ROUND(AE51*AG51,2)</f>
        <v/>
      </c>
      <c r="AI51">
        <f>MAX(AH51,MinPremium)</f>
        <v/>
      </c>
      <c r="AJ51">
        <f>ROUNDUP(AI51,0)</f>
        <v/>
      </c>
      <c r="AK51">
        <f>VLOOKUP(Policies!N51,FeeTable,2,FALSE)</f>
        <v/>
      </c>
      <c r="AL51">
        <f>ROUND(AJ51*AssessRate,2)</f>
        <v/>
      </c>
      <c r="AM51">
        <f>ROUND((AJ51+AK51)*G51,2)</f>
        <v/>
      </c>
      <c r="AN51">
        <f>AJ51+AK51+AL51+AM51</f>
        <v/>
      </c>
      <c r="AO51">
        <f>IF(OR(Policies!G51&gt;1000000,C51&gt;20,Policies!L51&gt;=3),"REFER","OK")</f>
        <v/>
      </c>
      <c r="AP51">
        <f>ROUND(AH51/D51,3)</f>
        <v/>
      </c>
      <c r="AQ51">
        <f>Policies!B51&amp;"-"&amp;LEFT(Policies!C51,1)&amp;TEXT(Policies!D51,"00")</f>
        <v/>
      </c>
    </row>
    <row r="52">
      <c r="A52">
        <f>Policies!A52</f>
        <v/>
      </c>
      <c r="B52">
        <f>IFERROR(DATEDIF(DATE(Policies!E52,1,1),Policies!M52,"y"),0)</f>
        <v/>
      </c>
      <c r="C52">
        <f>Policies!F52*1</f>
        <v/>
      </c>
      <c r="D52">
        <f>Policies!G52/1000</f>
        <v/>
      </c>
      <c r="E52">
        <f>VLOOKUP(Policies!B52,BaseRates,2,FALSE)</f>
        <v/>
      </c>
      <c r="F52">
        <f>VLOOKUP(Policies!B52,BaseRates,3,FALSE)</f>
        <v/>
      </c>
      <c r="G52">
        <f>VLOOKUP(Policies!B52,BaseRates,4,FALSE)</f>
        <v/>
      </c>
      <c r="H52">
        <f>ROUND(E52*D52,2)</f>
        <v/>
      </c>
      <c r="I52">
        <f>INDEX(RateTables!$B$13:$B$16,MATCH(Policies!C52,RateTables!$A$13:$A$16,0))</f>
        <v/>
      </c>
      <c r="J52">
        <f>INDEX(RateTables!$C$13:$C$16,MATCH(Policies!C52,RateTables!$A$13:$A$16,0))</f>
        <v/>
      </c>
      <c r="K52">
        <f>INDEX(RateTables!$B$19:$C$28,MATCH(Policies!D52,RateTables!$A$19:$A$28,0),IF(Policies!C52="Frame",1,2))</f>
        <v/>
      </c>
      <c r="L52">
        <f>VLOOKUP(B52,AgeBands,2,TRUE)</f>
        <v/>
      </c>
      <c r="M52">
        <f>VLOOKUP(C52,RoofBands,2,TRUE)</f>
        <v/>
      </c>
      <c r="N52">
        <f>VLOOKUP(Policies!G52,AOIBands,2,TRUE)</f>
        <v/>
      </c>
      <c r="O52">
        <f>VLOOKUP(Policies!H52,RateTables!$A$31:$B$35,2,TRUE)</f>
        <v/>
      </c>
      <c r="P52">
        <f>VLOOKUP(MIN(Policies!L52,3),ClaimsTable,2,FALSE)</f>
        <v/>
      </c>
      <c r="Q52">
        <f>ROUND(H52*I52*K52*L52*M52*N52*O52*P52,2)</f>
        <v/>
      </c>
      <c r="R52">
        <f>IF(Policies!J52="Y",1,0)</f>
        <v/>
      </c>
      <c r="S52">
        <f>IF(AND(Policies!L52=0,B52&gt;=3),1,0)</f>
        <v/>
      </c>
      <c r="T52">
        <f>IF(B52&lt;=5,1,0)</f>
        <v/>
      </c>
      <c r="U52">
        <f>IF(Policies!K52="Basic",1,0)</f>
        <v/>
      </c>
      <c r="V52">
        <f>IF(Policies!K52="Fortified",1,0)</f>
        <v/>
      </c>
      <c r="W52">
        <f>SUMPRODUCT(R52:V52,CreditPcts)</f>
        <v/>
      </c>
      <c r="X52">
        <f>MIN(W52,CreditCap)</f>
        <v/>
      </c>
      <c r="Y52">
        <f>ROUND(Q52*(1-X52),2)</f>
        <v/>
      </c>
      <c r="Z52">
        <f>IF(Policies!I52="",0.02,Policies!I52)</f>
        <v/>
      </c>
      <c r="AA52">
        <f>IFERROR(VLOOKUP(Z52,HurrDedTable,2,FALSE),1)</f>
        <v/>
      </c>
      <c r="AB52">
        <f>IFERROR(INDEX(RateTables!$L$31:$L$33,MATCH(Policies!K52,RateTables!$K$31:$K$33,0)),1)</f>
        <v/>
      </c>
      <c r="AC52">
        <f>ROUND(F52*D52*J52*AA52*AB52,2)</f>
        <v/>
      </c>
      <c r="AD52">
        <f>MIN(AC52,Policies!G52*HurrCapPct)</f>
        <v/>
      </c>
      <c r="AE52">
        <f>Y52+AD52</f>
        <v/>
      </c>
      <c r="AF52" s="1">
        <f>EDATE(Policies!M52,Policies!N52)</f>
        <v/>
      </c>
      <c r="AG52">
        <f>ROUND(YEARFRAC(Policies!M52,AF52,3),4)</f>
        <v/>
      </c>
      <c r="AH52">
        <f>ROUND(AE52*AG52,2)</f>
        <v/>
      </c>
      <c r="AI52">
        <f>MAX(AH52,MinPremium)</f>
        <v/>
      </c>
      <c r="AJ52">
        <f>ROUNDUP(AI52,0)</f>
        <v/>
      </c>
      <c r="AK52">
        <f>VLOOKUP(Policies!N52,FeeTable,2,FALSE)</f>
        <v/>
      </c>
      <c r="AL52">
        <f>ROUND(AJ52*AssessRate,2)</f>
        <v/>
      </c>
      <c r="AM52">
        <f>ROUND((AJ52+AK52)*G52,2)</f>
        <v/>
      </c>
      <c r="AN52">
        <f>AJ52+AK52+AL52+AM52</f>
        <v/>
      </c>
      <c r="AO52">
        <f>IF(OR(Policies!G52&gt;1000000,C52&gt;20,Policies!L52&gt;=3),"REFER","OK")</f>
        <v/>
      </c>
      <c r="AP52">
        <f>ROUND(AH52/D52,3)</f>
        <v/>
      </c>
      <c r="AQ52">
        <f>Policies!B52&amp;"-"&amp;LEFT(Policies!C52,1)&amp;TEXT(Policies!D52,"00")</f>
        <v/>
      </c>
    </row>
    <row r="53">
      <c r="A53">
        <f>Policies!A53</f>
        <v/>
      </c>
      <c r="B53">
        <f>IFERROR(DATEDIF(DATE(Policies!E53,1,1),Policies!M53,"y"),0)</f>
        <v/>
      </c>
      <c r="C53">
        <f>Policies!F53*1</f>
        <v/>
      </c>
      <c r="D53">
        <f>Policies!G53/1000</f>
        <v/>
      </c>
      <c r="E53">
        <f>VLOOKUP(Policies!B53,BaseRates,2,FALSE)</f>
        <v/>
      </c>
      <c r="F53">
        <f>VLOOKUP(Policies!B53,BaseRates,3,FALSE)</f>
        <v/>
      </c>
      <c r="G53">
        <f>VLOOKUP(Policies!B53,BaseRates,4,FALSE)</f>
        <v/>
      </c>
      <c r="H53">
        <f>ROUND(E53*D53,2)</f>
        <v/>
      </c>
      <c r="I53">
        <f>INDEX(RateTables!$B$13:$B$16,MATCH(Policies!C53,RateTables!$A$13:$A$16,0))</f>
        <v/>
      </c>
      <c r="J53">
        <f>INDEX(RateTables!$C$13:$C$16,MATCH(Policies!C53,RateTables!$A$13:$A$16,0))</f>
        <v/>
      </c>
      <c r="K53">
        <f>INDEX(RateTables!$B$19:$C$28,MATCH(Policies!D53,RateTables!$A$19:$A$28,0),IF(Policies!C53="Frame",1,2))</f>
        <v/>
      </c>
      <c r="L53">
        <f>VLOOKUP(B53,AgeBands,2,TRUE)</f>
        <v/>
      </c>
      <c r="M53">
        <f>VLOOKUP(C53,RoofBands,2,TRUE)</f>
        <v/>
      </c>
      <c r="N53">
        <f>VLOOKUP(Policies!G53,AOIBands,2,TRUE)</f>
        <v/>
      </c>
      <c r="O53">
        <f>VLOOKUP(Policies!H53,RateTables!$A$31:$B$35,2,TRUE)</f>
        <v/>
      </c>
      <c r="P53">
        <f>VLOOKUP(MIN(Policies!L53,3),ClaimsTable,2,FALSE)</f>
        <v/>
      </c>
      <c r="Q53">
        <f>ROUND(H53*I53*K53*L53*M53*N53*O53*P53,2)</f>
        <v/>
      </c>
      <c r="R53">
        <f>IF(Policies!J53="Y",1,0)</f>
        <v/>
      </c>
      <c r="S53">
        <f>IF(AND(Policies!L53=0,B53&gt;=3),1,0)</f>
        <v/>
      </c>
      <c r="T53">
        <f>IF(B53&lt;=5,1,0)</f>
        <v/>
      </c>
      <c r="U53">
        <f>IF(Policies!K53="Basic",1,0)</f>
        <v/>
      </c>
      <c r="V53">
        <f>IF(Policies!K53="Fortified",1,0)</f>
        <v/>
      </c>
      <c r="W53">
        <f>SUMPRODUCT(R53:V53,CreditPcts)</f>
        <v/>
      </c>
      <c r="X53">
        <f>MIN(W53,CreditCap)</f>
        <v/>
      </c>
      <c r="Y53">
        <f>ROUND(Q53*(1-X53),2)</f>
        <v/>
      </c>
      <c r="Z53">
        <f>IF(Policies!I53="",0.02,Policies!I53)</f>
        <v/>
      </c>
      <c r="AA53">
        <f>IFERROR(VLOOKUP(Z53,HurrDedTable,2,FALSE),1)</f>
        <v/>
      </c>
      <c r="AB53">
        <f>IFERROR(INDEX(RateTables!$L$31:$L$33,MATCH(Policies!K53,RateTables!$K$31:$K$33,0)),1)</f>
        <v/>
      </c>
      <c r="AC53">
        <f>ROUND(F53*D53*J53*AA53*AB53,2)</f>
        <v/>
      </c>
      <c r="AD53">
        <f>MIN(AC53,Policies!G53*HurrCapPct)</f>
        <v/>
      </c>
      <c r="AE53">
        <f>Y53+AD53</f>
        <v/>
      </c>
      <c r="AF53" s="1">
        <f>EDATE(Policies!M53,Policies!N53)</f>
        <v/>
      </c>
      <c r="AG53">
        <f>ROUND(YEARFRAC(Policies!M53,AF53,3),4)</f>
        <v/>
      </c>
      <c r="AH53">
        <f>ROUND(AE53*AG53,2)</f>
        <v/>
      </c>
      <c r="AI53">
        <f>MAX(AH53,MinPremium)</f>
        <v/>
      </c>
      <c r="AJ53">
        <f>ROUNDUP(AI53,0)</f>
        <v/>
      </c>
      <c r="AK53">
        <f>VLOOKUP(Policies!N53,FeeTable,2,FALSE)</f>
        <v/>
      </c>
      <c r="AL53">
        <f>ROUND(AJ53*AssessRate,2)</f>
        <v/>
      </c>
      <c r="AM53">
        <f>ROUND((AJ53+AK53)*G53,2)</f>
        <v/>
      </c>
      <c r="AN53">
        <f>AJ53+AK53+AL53+AM53</f>
        <v/>
      </c>
      <c r="AO53">
        <f>IF(OR(Policies!G53&gt;1000000,C53&gt;20,Policies!L53&gt;=3),"REFER","OK")</f>
        <v/>
      </c>
      <c r="AP53">
        <f>ROUND(AH53/D53,3)</f>
        <v/>
      </c>
      <c r="AQ53">
        <f>Policies!B53&amp;"-"&amp;LEFT(Policies!C53,1)&amp;TEXT(Policies!D53,"00")</f>
        <v/>
      </c>
    </row>
    <row r="54">
      <c r="A54">
        <f>Policies!A54</f>
        <v/>
      </c>
      <c r="B54">
        <f>IFERROR(DATEDIF(DATE(Policies!E54,1,1),Policies!M54,"y"),0)</f>
        <v/>
      </c>
      <c r="C54">
        <f>Policies!F54*1</f>
        <v/>
      </c>
      <c r="D54">
        <f>Policies!G54/1000</f>
        <v/>
      </c>
      <c r="E54">
        <f>VLOOKUP(Policies!B54,BaseRates,2,FALSE)</f>
        <v/>
      </c>
      <c r="F54">
        <f>VLOOKUP(Policies!B54,BaseRates,3,FALSE)</f>
        <v/>
      </c>
      <c r="G54">
        <f>VLOOKUP(Policies!B54,BaseRates,4,FALSE)</f>
        <v/>
      </c>
      <c r="H54">
        <f>ROUND(E54*D54,2)</f>
        <v/>
      </c>
      <c r="I54">
        <f>INDEX(RateTables!$B$13:$B$16,MATCH(Policies!C54,RateTables!$A$13:$A$16,0))</f>
        <v/>
      </c>
      <c r="J54">
        <f>INDEX(RateTables!$C$13:$C$16,MATCH(Policies!C54,RateTables!$A$13:$A$16,0))</f>
        <v/>
      </c>
      <c r="K54">
        <f>INDEX(RateTables!$B$19:$C$28,MATCH(Policies!D54,RateTables!$A$19:$A$28,0),IF(Policies!C54="Frame",1,2))</f>
        <v/>
      </c>
      <c r="L54">
        <f>VLOOKUP(B54,AgeBands,2,TRUE)</f>
        <v/>
      </c>
      <c r="M54">
        <f>VLOOKUP(C54,RoofBands,2,TRUE)</f>
        <v/>
      </c>
      <c r="N54">
        <f>VLOOKUP(Policies!G54,AOIBands,2,TRUE)</f>
        <v/>
      </c>
      <c r="O54">
        <f>VLOOKUP(Policies!H54,RateTables!$A$31:$B$35,2,TRUE)</f>
        <v/>
      </c>
      <c r="P54">
        <f>VLOOKUP(MIN(Policies!L54,3),ClaimsTable,2,FALSE)</f>
        <v/>
      </c>
      <c r="Q54">
        <f>ROUND(H54*I54*K54*L54*M54*N54*O54*P54,2)</f>
        <v/>
      </c>
      <c r="R54">
        <f>IF(Policies!J54="Y",1,0)</f>
        <v/>
      </c>
      <c r="S54">
        <f>IF(AND(Policies!L54=0,B54&gt;=3),1,0)</f>
        <v/>
      </c>
      <c r="T54">
        <f>IF(B54&lt;=5,1,0)</f>
        <v/>
      </c>
      <c r="U54">
        <f>IF(Policies!K54="Basic",1,0)</f>
        <v/>
      </c>
      <c r="V54">
        <f>IF(Policies!K54="Fortified",1,0)</f>
        <v/>
      </c>
      <c r="W54">
        <f>SUMPRODUCT(R54:V54,CreditPcts)</f>
        <v/>
      </c>
      <c r="X54">
        <f>MIN(W54,CreditCap)</f>
        <v/>
      </c>
      <c r="Y54">
        <f>ROUND(Q54*(1-X54),2)</f>
        <v/>
      </c>
      <c r="Z54">
        <f>IF(Policies!I54="",0.02,Policies!I54)</f>
        <v/>
      </c>
      <c r="AA54">
        <f>IFERROR(VLOOKUP(Z54,HurrDedTable,2,FALSE),1)</f>
        <v/>
      </c>
      <c r="AB54">
        <f>IFERROR(INDEX(RateTables!$L$31:$L$33,MATCH(Policies!K54,RateTables!$K$31:$K$33,0)),1)</f>
        <v/>
      </c>
      <c r="AC54">
        <f>ROUND(F54*D54*J54*AA54*AB54,2)</f>
        <v/>
      </c>
      <c r="AD54">
        <f>MIN(AC54,Policies!G54*HurrCapPct)</f>
        <v/>
      </c>
      <c r="AE54">
        <f>Y54+AD54</f>
        <v/>
      </c>
      <c r="AF54" s="1">
        <f>EDATE(Policies!M54,Policies!N54)</f>
        <v/>
      </c>
      <c r="AG54">
        <f>ROUND(YEARFRAC(Policies!M54,AF54,3),4)</f>
        <v/>
      </c>
      <c r="AH54">
        <f>ROUND(AE54*AG54,2)</f>
        <v/>
      </c>
      <c r="AI54">
        <f>MAX(AH54,MinPremium)</f>
        <v/>
      </c>
      <c r="AJ54">
        <f>ROUNDUP(AI54,0)</f>
        <v/>
      </c>
      <c r="AK54">
        <f>VLOOKUP(Policies!N54,FeeTable,2,FALSE)</f>
        <v/>
      </c>
      <c r="AL54">
        <f>ROUND(AJ54*AssessRate,2)</f>
        <v/>
      </c>
      <c r="AM54">
        <f>ROUND((AJ54+AK54)*G54,2)</f>
        <v/>
      </c>
      <c r="AN54">
        <f>AJ54+AK54+AL54+AM54</f>
        <v/>
      </c>
      <c r="AO54">
        <f>IF(OR(Policies!G54&gt;1000000,C54&gt;20,Policies!L54&gt;=3),"REFER","OK")</f>
        <v/>
      </c>
      <c r="AP54">
        <f>ROUND(AH54/D54,3)</f>
        <v/>
      </c>
      <c r="AQ54">
        <f>Policies!B54&amp;"-"&amp;LEFT(Policies!C54,1)&amp;TEXT(Policies!D54,"00")</f>
        <v/>
      </c>
    </row>
    <row r="55">
      <c r="A55">
        <f>Policies!A55</f>
        <v/>
      </c>
      <c r="B55">
        <f>IFERROR(DATEDIF(DATE(Policies!E55,1,1),Policies!M55,"y"),0)</f>
        <v/>
      </c>
      <c r="C55">
        <f>Policies!F55*1</f>
        <v/>
      </c>
      <c r="D55">
        <f>Policies!G55/1000</f>
        <v/>
      </c>
      <c r="E55">
        <f>VLOOKUP(Policies!B55,BaseRates,2,FALSE)</f>
        <v/>
      </c>
      <c r="F55">
        <f>VLOOKUP(Policies!B55,BaseRates,3,FALSE)</f>
        <v/>
      </c>
      <c r="G55">
        <f>VLOOKUP(Policies!B55,BaseRates,4,FALSE)</f>
        <v/>
      </c>
      <c r="H55">
        <f>ROUND(E55*D55,2)</f>
        <v/>
      </c>
      <c r="I55">
        <f>INDEX(RateTables!$B$13:$B$16,MATCH(Policies!C55,RateTables!$A$13:$A$16,0))</f>
        <v/>
      </c>
      <c r="J55">
        <f>INDEX(RateTables!$C$13:$C$16,MATCH(Policies!C55,RateTables!$A$13:$A$16,0))</f>
        <v/>
      </c>
      <c r="K55">
        <f>INDEX(RateTables!$B$19:$C$28,MATCH(Policies!D55,RateTables!$A$19:$A$28,0),IF(Policies!C55="Frame",1,2))</f>
        <v/>
      </c>
      <c r="L55">
        <f>VLOOKUP(B55,AgeBands,2,TRUE)</f>
        <v/>
      </c>
      <c r="M55">
        <f>VLOOKUP(C55,RoofBands,2,TRUE)</f>
        <v/>
      </c>
      <c r="N55">
        <f>VLOOKUP(Policies!G55,AOIBands,2,TRUE)</f>
        <v/>
      </c>
      <c r="O55">
        <f>VLOOKUP(Policies!H55,RateTables!$A$31:$B$35,2,TRUE)</f>
        <v/>
      </c>
      <c r="P55">
        <f>VLOOKUP(MIN(Policies!L55,3),ClaimsTable,2,FALSE)</f>
        <v/>
      </c>
      <c r="Q55">
        <f>ROUND(H55*I55*K55*L55*M55*N55*O55*P55,2)</f>
        <v/>
      </c>
      <c r="R55">
        <f>IF(Policies!J55="Y",1,0)</f>
        <v/>
      </c>
      <c r="S55">
        <f>IF(AND(Policies!L55=0,B55&gt;=3),1,0)</f>
        <v/>
      </c>
      <c r="T55">
        <f>IF(B55&lt;=5,1,0)</f>
        <v/>
      </c>
      <c r="U55">
        <f>IF(Policies!K55="Basic",1,0)</f>
        <v/>
      </c>
      <c r="V55">
        <f>IF(Policies!K55="Fortified",1,0)</f>
        <v/>
      </c>
      <c r="W55">
        <f>SUMPRODUCT(R55:V55,CreditPcts)</f>
        <v/>
      </c>
      <c r="X55">
        <f>MIN(W55,CreditCap)</f>
        <v/>
      </c>
      <c r="Y55">
        <f>ROUND(Q55*(1-X55),2)</f>
        <v/>
      </c>
      <c r="Z55">
        <f>IF(Policies!I55="",0.02,Policies!I55)</f>
        <v/>
      </c>
      <c r="AA55">
        <f>IFERROR(VLOOKUP(Z55,HurrDedTable,2,FALSE),1)</f>
        <v/>
      </c>
      <c r="AB55">
        <f>IFERROR(INDEX(RateTables!$L$31:$L$33,MATCH(Policies!K55,RateTables!$K$31:$K$33,0)),1)</f>
        <v/>
      </c>
      <c r="AC55">
        <f>ROUND(F55*D55*J55*AA55*AB55,2)</f>
        <v/>
      </c>
      <c r="AD55">
        <f>MIN(AC55,Policies!G55*HurrCapPct)</f>
        <v/>
      </c>
      <c r="AE55">
        <f>Y55+AD55</f>
        <v/>
      </c>
      <c r="AF55" s="1">
        <f>EDATE(Policies!M55,Policies!N55)</f>
        <v/>
      </c>
      <c r="AG55">
        <f>ROUND(YEARFRAC(Policies!M55,AF55,3),4)</f>
        <v/>
      </c>
      <c r="AH55">
        <f>ROUND(AE55*AG55,2)</f>
        <v/>
      </c>
      <c r="AI55">
        <f>MAX(AH55,MinPremium)</f>
        <v/>
      </c>
      <c r="AJ55">
        <f>ROUNDUP(AI55,0)</f>
        <v/>
      </c>
      <c r="AK55">
        <f>VLOOKUP(Policies!N55,FeeTable,2,FALSE)</f>
        <v/>
      </c>
      <c r="AL55">
        <f>ROUND(AJ55*AssessRate,2)</f>
        <v/>
      </c>
      <c r="AM55">
        <f>ROUND((AJ55+AK55)*G55,2)</f>
        <v/>
      </c>
      <c r="AN55">
        <f>AJ55+AK55+AL55+AM55</f>
        <v/>
      </c>
      <c r="AO55">
        <f>IF(OR(Policies!G55&gt;1000000,C55&gt;20,Policies!L55&gt;=3),"REFER","OK")</f>
        <v/>
      </c>
      <c r="AP55">
        <f>ROUND(AH55/D55,3)</f>
        <v/>
      </c>
      <c r="AQ55">
        <f>Policies!B55&amp;"-"&amp;LEFT(Policies!C55,1)&amp;TEXT(Policies!D55,"00")</f>
        <v/>
      </c>
    </row>
    <row r="56">
      <c r="A56">
        <f>Policies!A56</f>
        <v/>
      </c>
      <c r="B56">
        <f>IFERROR(DATEDIF(DATE(Policies!E56,1,1),Policies!M56,"y"),0)</f>
        <v/>
      </c>
      <c r="C56">
        <f>Policies!F56*1</f>
        <v/>
      </c>
      <c r="D56">
        <f>Policies!G56/1000</f>
        <v/>
      </c>
      <c r="E56">
        <f>VLOOKUP(Policies!B56,BaseRates,2,FALSE)</f>
        <v/>
      </c>
      <c r="F56">
        <f>VLOOKUP(Policies!B56,BaseRates,3,FALSE)</f>
        <v/>
      </c>
      <c r="G56">
        <f>VLOOKUP(Policies!B56,BaseRates,4,FALSE)</f>
        <v/>
      </c>
      <c r="H56">
        <f>ROUND(E56*D56,2)</f>
        <v/>
      </c>
      <c r="I56">
        <f>INDEX(RateTables!$B$13:$B$16,MATCH(Policies!C56,RateTables!$A$13:$A$16,0))</f>
        <v/>
      </c>
      <c r="J56">
        <f>INDEX(RateTables!$C$13:$C$16,MATCH(Policies!C56,RateTables!$A$13:$A$16,0))</f>
        <v/>
      </c>
      <c r="K56">
        <f>INDEX(RateTables!$B$19:$C$28,MATCH(Policies!D56,RateTables!$A$19:$A$28,0),IF(Policies!C56="Frame",1,2))</f>
        <v/>
      </c>
      <c r="L56">
        <f>VLOOKUP(B56,AgeBands,2,TRUE)</f>
        <v/>
      </c>
      <c r="M56">
        <f>VLOOKUP(C56,RoofBands,2,TRUE)</f>
        <v/>
      </c>
      <c r="N56">
        <f>VLOOKUP(Policies!G56,AOIBands,2,TRUE)</f>
        <v/>
      </c>
      <c r="O56">
        <f>VLOOKUP(Policies!H56,RateTables!$A$31:$B$35,2,TRUE)</f>
        <v/>
      </c>
      <c r="P56">
        <f>VLOOKUP(MIN(Policies!L56,3),ClaimsTable,2,FALSE)</f>
        <v/>
      </c>
      <c r="Q56">
        <f>ROUND(H56*I56*K56*L56*M56*N56*O56*P56,2)</f>
        <v/>
      </c>
      <c r="R56">
        <f>IF(Policies!J56="Y",1,0)</f>
        <v/>
      </c>
      <c r="S56">
        <f>IF(AND(Policies!L56=0,B56&gt;=3),1,0)</f>
        <v/>
      </c>
      <c r="T56">
        <f>IF(B56&lt;=5,1,0)</f>
        <v/>
      </c>
      <c r="U56">
        <f>IF(Policies!K56="Basic",1,0)</f>
        <v/>
      </c>
      <c r="V56">
        <f>IF(Policies!K56="Fortified",1,0)</f>
        <v/>
      </c>
      <c r="W56">
        <f>SUMPRODUCT(R56:V56,CreditPcts)</f>
        <v/>
      </c>
      <c r="X56">
        <f>MIN(W56,CreditCap)</f>
        <v/>
      </c>
      <c r="Y56">
        <f>ROUND(Q56*(1-X56),2)</f>
        <v/>
      </c>
      <c r="Z56">
        <f>IF(Policies!I56="",0.02,Policies!I56)</f>
        <v/>
      </c>
      <c r="AA56">
        <f>IFERROR(VLOOKUP(Z56,HurrDedTable,2,FALSE),1)</f>
        <v/>
      </c>
      <c r="AB56">
        <f>IFERROR(INDEX(RateTables!$L$31:$L$33,MATCH(Policies!K56,RateTables!$K$31:$K$33,0)),1)</f>
        <v/>
      </c>
      <c r="AC56">
        <f>ROUND(F56*D56*J56*AA56*AB56,2)</f>
        <v/>
      </c>
      <c r="AD56">
        <f>MIN(AC56,Policies!G56*HurrCapPct)</f>
        <v/>
      </c>
      <c r="AE56">
        <f>Y56+AD56</f>
        <v/>
      </c>
      <c r="AF56" s="1">
        <f>EDATE(Policies!M56,Policies!N56)</f>
        <v/>
      </c>
      <c r="AG56">
        <f>ROUND(YEARFRAC(Policies!M56,AF56,3),4)</f>
        <v/>
      </c>
      <c r="AH56">
        <f>ROUND(AE56*AG56,2)</f>
        <v/>
      </c>
      <c r="AI56">
        <f>MAX(AH56,MinPremium)</f>
        <v/>
      </c>
      <c r="AJ56">
        <f>ROUNDUP(AI56,0)</f>
        <v/>
      </c>
      <c r="AK56">
        <f>VLOOKUP(Policies!N56,FeeTable,2,FALSE)</f>
        <v/>
      </c>
      <c r="AL56">
        <f>ROUND(AJ56*AssessRate,2)</f>
        <v/>
      </c>
      <c r="AM56">
        <f>ROUND((AJ56+AK56)*G56,2)</f>
        <v/>
      </c>
      <c r="AN56">
        <f>AJ56+AK56+AL56+AM56</f>
        <v/>
      </c>
      <c r="AO56">
        <f>IF(OR(Policies!G56&gt;1000000,C56&gt;20,Policies!L56&gt;=3),"REFER","OK")</f>
        <v/>
      </c>
      <c r="AP56">
        <f>ROUND(AH56/D56,3)</f>
        <v/>
      </c>
      <c r="AQ56">
        <f>Policies!B56&amp;"-"&amp;LEFT(Policies!C56,1)&amp;TEXT(Policies!D56,"00")</f>
        <v/>
      </c>
    </row>
    <row r="57">
      <c r="A57">
        <f>Policies!A57</f>
        <v/>
      </c>
      <c r="B57">
        <f>IFERROR(DATEDIF(DATE(Policies!E57,1,1),Policies!M57,"y"),0)</f>
        <v/>
      </c>
      <c r="C57">
        <f>Policies!F57*1</f>
        <v/>
      </c>
      <c r="D57">
        <f>Policies!G57/1000</f>
        <v/>
      </c>
      <c r="E57">
        <f>VLOOKUP(Policies!B57,BaseRates,2,FALSE)</f>
        <v/>
      </c>
      <c r="F57">
        <f>VLOOKUP(Policies!B57,BaseRates,3,FALSE)</f>
        <v/>
      </c>
      <c r="G57">
        <f>VLOOKUP(Policies!B57,BaseRates,4,FALSE)</f>
        <v/>
      </c>
      <c r="H57">
        <f>ROUND(E57*D57,2)</f>
        <v/>
      </c>
      <c r="I57">
        <f>INDEX(RateTables!$B$13:$B$16,MATCH(Policies!C57,RateTables!$A$13:$A$16,0))</f>
        <v/>
      </c>
      <c r="J57">
        <f>INDEX(RateTables!$C$13:$C$16,MATCH(Policies!C57,RateTables!$A$13:$A$16,0))</f>
        <v/>
      </c>
      <c r="K57">
        <f>INDEX(RateTables!$B$19:$C$28,MATCH(Policies!D57,RateTables!$A$19:$A$28,0),IF(Policies!C57="Frame",1,2))</f>
        <v/>
      </c>
      <c r="L57">
        <f>VLOOKUP(B57,AgeBands,2,TRUE)</f>
        <v/>
      </c>
      <c r="M57">
        <f>VLOOKUP(C57,RoofBands,2,TRUE)</f>
        <v/>
      </c>
      <c r="N57">
        <f>VLOOKUP(Policies!G57,AOIBands,2,TRUE)</f>
        <v/>
      </c>
      <c r="O57">
        <f>VLOOKUP(Policies!H57,RateTables!$A$31:$B$35,2,TRUE)</f>
        <v/>
      </c>
      <c r="P57">
        <f>VLOOKUP(MIN(Policies!L57,3),ClaimsTable,2,FALSE)</f>
        <v/>
      </c>
      <c r="Q57">
        <f>ROUND(H57*I57*K57*L57*M57*N57*O57*P57,2)</f>
        <v/>
      </c>
      <c r="R57">
        <f>IF(Policies!J57="Y",1,0)</f>
        <v/>
      </c>
      <c r="S57">
        <f>IF(AND(Policies!L57=0,B57&gt;=3),1,0)</f>
        <v/>
      </c>
      <c r="T57">
        <f>IF(B57&lt;=5,1,0)</f>
        <v/>
      </c>
      <c r="U57">
        <f>IF(Policies!K57="Basic",1,0)</f>
        <v/>
      </c>
      <c r="V57">
        <f>IF(Policies!K57="Fortified",1,0)</f>
        <v/>
      </c>
      <c r="W57">
        <f>SUMPRODUCT(R57:V57,CreditPcts)</f>
        <v/>
      </c>
      <c r="X57">
        <f>MIN(W57,CreditCap)</f>
        <v/>
      </c>
      <c r="Y57">
        <f>ROUND(Q57*(1-X57),2)</f>
        <v/>
      </c>
      <c r="Z57">
        <f>IF(Policies!I57="",0.02,Policies!I57)</f>
        <v/>
      </c>
      <c r="AA57">
        <f>IFERROR(VLOOKUP(Z57,HurrDedTable,2,FALSE),1)</f>
        <v/>
      </c>
      <c r="AB57">
        <f>IFERROR(INDEX(RateTables!$L$31:$L$33,MATCH(Policies!K57,RateTables!$K$31:$K$33,0)),1)</f>
        <v/>
      </c>
      <c r="AC57">
        <f>ROUND(F57*D57*J57*AA57*AB57,2)</f>
        <v/>
      </c>
      <c r="AD57">
        <f>MIN(AC57,Policies!G57*HurrCapPct)</f>
        <v/>
      </c>
      <c r="AE57">
        <f>Y57+AD57</f>
        <v/>
      </c>
      <c r="AF57" s="1">
        <f>EDATE(Policies!M57,Policies!N57)</f>
        <v/>
      </c>
      <c r="AG57">
        <f>ROUND(YEARFRAC(Policies!M57,AF57,3),4)</f>
        <v/>
      </c>
      <c r="AH57">
        <f>ROUND(AE57*AG57,2)</f>
        <v/>
      </c>
      <c r="AI57">
        <f>MAX(AH57,MinPremium)</f>
        <v/>
      </c>
      <c r="AJ57">
        <f>ROUNDUP(AI57,0)</f>
        <v/>
      </c>
      <c r="AK57">
        <f>VLOOKUP(Policies!N57,FeeTable,2,FALSE)</f>
        <v/>
      </c>
      <c r="AL57">
        <f>ROUND(AJ57*AssessRate,2)</f>
        <v/>
      </c>
      <c r="AM57">
        <f>ROUND((AJ57+AK57)*G57,2)</f>
        <v/>
      </c>
      <c r="AN57">
        <f>AJ57+AK57+AL57+AM57</f>
        <v/>
      </c>
      <c r="AO57">
        <f>IF(OR(Policies!G57&gt;1000000,C57&gt;20,Policies!L57&gt;=3),"REFER","OK")</f>
        <v/>
      </c>
      <c r="AP57">
        <f>ROUND(AH57/D57,3)</f>
        <v/>
      </c>
      <c r="AQ57">
        <f>Policies!B57&amp;"-"&amp;LEFT(Policies!C57,1)&amp;TEXT(Policies!D57,"00")</f>
        <v/>
      </c>
    </row>
    <row r="58">
      <c r="A58">
        <f>Policies!A58</f>
        <v/>
      </c>
      <c r="B58">
        <f>IFERROR(DATEDIF(DATE(Policies!E58,1,1),Policies!M58,"y"),0)</f>
        <v/>
      </c>
      <c r="C58">
        <f>Policies!F58*1</f>
        <v/>
      </c>
      <c r="D58">
        <f>Policies!G58/1000</f>
        <v/>
      </c>
      <c r="E58">
        <f>VLOOKUP(Policies!B58,BaseRates,2,FALSE)</f>
        <v/>
      </c>
      <c r="F58">
        <f>VLOOKUP(Policies!B58,BaseRates,3,FALSE)</f>
        <v/>
      </c>
      <c r="G58">
        <f>VLOOKUP(Policies!B58,BaseRates,4,FALSE)</f>
        <v/>
      </c>
      <c r="H58">
        <f>ROUND(E58*D58,2)</f>
        <v/>
      </c>
      <c r="I58">
        <f>INDEX(RateTables!$B$13:$B$16,MATCH(Policies!C58,RateTables!$A$13:$A$16,0))</f>
        <v/>
      </c>
      <c r="J58">
        <f>INDEX(RateTables!$C$13:$C$16,MATCH(Policies!C58,RateTables!$A$13:$A$16,0))</f>
        <v/>
      </c>
      <c r="K58">
        <f>INDEX(RateTables!$B$19:$C$28,MATCH(Policies!D58,RateTables!$A$19:$A$28,0),IF(Policies!C58="Frame",1,2))</f>
        <v/>
      </c>
      <c r="L58">
        <f>VLOOKUP(B58,AgeBands,2,TRUE)</f>
        <v/>
      </c>
      <c r="M58">
        <f>VLOOKUP(C58,RoofBands,2,TRUE)</f>
        <v/>
      </c>
      <c r="N58">
        <f>VLOOKUP(Policies!G58,AOIBands,2,TRUE)</f>
        <v/>
      </c>
      <c r="O58">
        <f>VLOOKUP(Policies!H58,RateTables!$A$31:$B$35,2,TRUE)</f>
        <v/>
      </c>
      <c r="P58">
        <f>VLOOKUP(MIN(Policies!L58,3),ClaimsTable,2,FALSE)</f>
        <v/>
      </c>
      <c r="Q58">
        <f>ROUND(H58*I58*K58*L58*M58*N58*O58*P58,2)</f>
        <v/>
      </c>
      <c r="R58">
        <f>IF(Policies!J58="Y",1,0)</f>
        <v/>
      </c>
      <c r="S58">
        <f>IF(AND(Policies!L58=0,B58&gt;=3),1,0)</f>
        <v/>
      </c>
      <c r="T58">
        <f>IF(B58&lt;=5,1,0)</f>
        <v/>
      </c>
      <c r="U58">
        <f>IF(Policies!K58="Basic",1,0)</f>
        <v/>
      </c>
      <c r="V58">
        <f>IF(Policies!K58="Fortified",1,0)</f>
        <v/>
      </c>
      <c r="W58">
        <f>SUMPRODUCT(R58:V58,CreditPcts)</f>
        <v/>
      </c>
      <c r="X58">
        <f>MIN(W58,CreditCap)</f>
        <v/>
      </c>
      <c r="Y58">
        <f>ROUND(Q58*(1-X58),2)</f>
        <v/>
      </c>
      <c r="Z58">
        <f>IF(Policies!I58="",0.02,Policies!I58)</f>
        <v/>
      </c>
      <c r="AA58">
        <f>IFERROR(VLOOKUP(Z58,HurrDedTable,2,FALSE),1)</f>
        <v/>
      </c>
      <c r="AB58">
        <f>IFERROR(INDEX(RateTables!$L$31:$L$33,MATCH(Policies!K58,RateTables!$K$31:$K$33,0)),1)</f>
        <v/>
      </c>
      <c r="AC58">
        <f>ROUND(F58*D58*J58*AA58*AB58,2)</f>
        <v/>
      </c>
      <c r="AD58">
        <f>MIN(AC58,Policies!G58*HurrCapPct)</f>
        <v/>
      </c>
      <c r="AE58">
        <f>Y58+AD58</f>
        <v/>
      </c>
      <c r="AF58" s="1">
        <f>EDATE(Policies!M58,Policies!N58)</f>
        <v/>
      </c>
      <c r="AG58">
        <f>ROUND(YEARFRAC(Policies!M58,AF58,3),4)</f>
        <v/>
      </c>
      <c r="AH58">
        <f>ROUND(AE58*AG58,2)</f>
        <v/>
      </c>
      <c r="AI58">
        <f>MAX(AH58,MinPremium)</f>
        <v/>
      </c>
      <c r="AJ58">
        <f>ROUNDUP(AI58,0)</f>
        <v/>
      </c>
      <c r="AK58">
        <f>VLOOKUP(Policies!N58,FeeTable,2,FALSE)</f>
        <v/>
      </c>
      <c r="AL58">
        <f>ROUND(AJ58*AssessRate,2)</f>
        <v/>
      </c>
      <c r="AM58">
        <f>ROUND((AJ58+AK58)*G58,2)</f>
        <v/>
      </c>
      <c r="AN58">
        <f>AJ58+AK58+AL58+AM58</f>
        <v/>
      </c>
      <c r="AO58">
        <f>IF(OR(Policies!G58&gt;1000000,C58&gt;20,Policies!L58&gt;=3),"REFER","OK")</f>
        <v/>
      </c>
      <c r="AP58">
        <f>ROUND(AH58/D58,3)</f>
        <v/>
      </c>
      <c r="AQ58">
        <f>Policies!B58&amp;"-"&amp;LEFT(Policies!C58,1)&amp;TEXT(Policies!D58,"00")</f>
        <v/>
      </c>
    </row>
    <row r="59">
      <c r="A59">
        <f>Policies!A59</f>
        <v/>
      </c>
      <c r="B59">
        <f>IFERROR(DATEDIF(DATE(Policies!E59,1,1),Policies!M59,"y"),0)</f>
        <v/>
      </c>
      <c r="C59">
        <f>Policies!F59*1</f>
        <v/>
      </c>
      <c r="D59">
        <f>Policies!G59/1000</f>
        <v/>
      </c>
      <c r="E59">
        <f>VLOOKUP(Policies!B59,BaseRates,2,FALSE)</f>
        <v/>
      </c>
      <c r="F59">
        <f>VLOOKUP(Policies!B59,BaseRates,3,FALSE)</f>
        <v/>
      </c>
      <c r="G59">
        <f>VLOOKUP(Policies!B59,BaseRates,4,FALSE)</f>
        <v/>
      </c>
      <c r="H59">
        <f>ROUND(E59*D59,2)</f>
        <v/>
      </c>
      <c r="I59">
        <f>INDEX(RateTables!$B$13:$B$16,MATCH(Policies!C59,RateTables!$A$13:$A$16,0))</f>
        <v/>
      </c>
      <c r="J59">
        <f>INDEX(RateTables!$C$13:$C$16,MATCH(Policies!C59,RateTables!$A$13:$A$16,0))</f>
        <v/>
      </c>
      <c r="K59">
        <f>INDEX(RateTables!$B$19:$C$28,MATCH(Policies!D59,RateTables!$A$19:$A$28,0),IF(Policies!C59="Frame",1,2))</f>
        <v/>
      </c>
      <c r="L59">
        <f>VLOOKUP(B59,AgeBands,2,TRUE)</f>
        <v/>
      </c>
      <c r="M59">
        <f>VLOOKUP(C59,RoofBands,2,TRUE)</f>
        <v/>
      </c>
      <c r="N59">
        <f>VLOOKUP(Policies!G59,AOIBands,2,TRUE)</f>
        <v/>
      </c>
      <c r="O59">
        <f>VLOOKUP(Policies!H59,RateTables!$A$31:$B$35,2,TRUE)</f>
        <v/>
      </c>
      <c r="P59">
        <f>VLOOKUP(MIN(Policies!L59,3),ClaimsTable,2,FALSE)</f>
        <v/>
      </c>
      <c r="Q59">
        <f>ROUND(H59*I59*K59*L59*M59*N59*O59*P59,2)</f>
        <v/>
      </c>
      <c r="R59">
        <f>IF(Policies!J59="Y",1,0)</f>
        <v/>
      </c>
      <c r="S59">
        <f>IF(AND(Policies!L59=0,B59&gt;=3),1,0)</f>
        <v/>
      </c>
      <c r="T59">
        <f>IF(B59&lt;=5,1,0)</f>
        <v/>
      </c>
      <c r="U59">
        <f>IF(Policies!K59="Basic",1,0)</f>
        <v/>
      </c>
      <c r="V59">
        <f>IF(Policies!K59="Fortified",1,0)</f>
        <v/>
      </c>
      <c r="W59">
        <f>SUMPRODUCT(R59:V59,CreditPcts)</f>
        <v/>
      </c>
      <c r="X59">
        <f>MIN(W59,CreditCap)</f>
        <v/>
      </c>
      <c r="Y59">
        <f>ROUND(Q59*(1-X59),2)</f>
        <v/>
      </c>
      <c r="Z59">
        <f>IF(Policies!I59="",0.02,Policies!I59)</f>
        <v/>
      </c>
      <c r="AA59">
        <f>IFERROR(VLOOKUP(Z59,HurrDedTable,2,FALSE),1)</f>
        <v/>
      </c>
      <c r="AB59">
        <f>IFERROR(INDEX(RateTables!$L$31:$L$33,MATCH(Policies!K59,RateTables!$K$31:$K$33,0)),1)</f>
        <v/>
      </c>
      <c r="AC59">
        <f>ROUND(F59*D59*J59*AA59*AB59,2)</f>
        <v/>
      </c>
      <c r="AD59">
        <f>MIN(AC59,Policies!G59*HurrCapPct)</f>
        <v/>
      </c>
      <c r="AE59">
        <f>Y59+AD59</f>
        <v/>
      </c>
      <c r="AF59" s="1">
        <f>EDATE(Policies!M59,Policies!N59)</f>
        <v/>
      </c>
      <c r="AG59">
        <f>ROUND(YEARFRAC(Policies!M59,AF59,3),4)</f>
        <v/>
      </c>
      <c r="AH59">
        <f>ROUND(AE59*AG59,2)</f>
        <v/>
      </c>
      <c r="AI59">
        <f>MAX(AH59,MinPremium)</f>
        <v/>
      </c>
      <c r="AJ59">
        <f>ROUNDUP(AI59,0)</f>
        <v/>
      </c>
      <c r="AK59">
        <f>VLOOKUP(Policies!N59,FeeTable,2,FALSE)</f>
        <v/>
      </c>
      <c r="AL59">
        <f>ROUND(AJ59*AssessRate,2)</f>
        <v/>
      </c>
      <c r="AM59">
        <f>ROUND((AJ59+AK59)*G59,2)</f>
        <v/>
      </c>
      <c r="AN59">
        <f>AJ59+AK59+AL59+AM59</f>
        <v/>
      </c>
      <c r="AO59">
        <f>IF(OR(Policies!G59&gt;1000000,C59&gt;20,Policies!L59&gt;=3),"REFER","OK")</f>
        <v/>
      </c>
      <c r="AP59">
        <f>ROUND(AH59/D59,3)</f>
        <v/>
      </c>
      <c r="AQ59">
        <f>Policies!B59&amp;"-"&amp;LEFT(Policies!C59,1)&amp;TEXT(Policies!D59,"00")</f>
        <v/>
      </c>
    </row>
    <row r="60">
      <c r="A60">
        <f>Policies!A60</f>
        <v/>
      </c>
      <c r="B60">
        <f>IFERROR(DATEDIF(DATE(Policies!E60,1,1),Policies!M60,"y"),0)</f>
        <v/>
      </c>
      <c r="C60">
        <f>Policies!F60*1</f>
        <v/>
      </c>
      <c r="D60">
        <f>Policies!G60/1000</f>
        <v/>
      </c>
      <c r="E60">
        <f>VLOOKUP(Policies!B60,BaseRates,2,FALSE)</f>
        <v/>
      </c>
      <c r="F60">
        <f>VLOOKUP(Policies!B60,BaseRates,3,FALSE)</f>
        <v/>
      </c>
      <c r="G60">
        <f>VLOOKUP(Policies!B60,BaseRates,4,FALSE)</f>
        <v/>
      </c>
      <c r="H60">
        <f>ROUND(E60*D60,2)</f>
        <v/>
      </c>
      <c r="I60">
        <f>INDEX(RateTables!$B$13:$B$16,MATCH(Policies!C60,RateTables!$A$13:$A$16,0))</f>
        <v/>
      </c>
      <c r="J60">
        <f>INDEX(RateTables!$C$13:$C$16,MATCH(Policies!C60,RateTables!$A$13:$A$16,0))</f>
        <v/>
      </c>
      <c r="K60">
        <f>INDEX(RateTables!$B$19:$C$28,MATCH(Policies!D60,RateTables!$A$19:$A$28,0),IF(Policies!C60="Frame",1,2))</f>
        <v/>
      </c>
      <c r="L60">
        <f>VLOOKUP(B60,AgeBands,2,TRUE)</f>
        <v/>
      </c>
      <c r="M60">
        <f>VLOOKUP(C60,RoofBands,2,TRUE)</f>
        <v/>
      </c>
      <c r="N60">
        <f>VLOOKUP(Policies!G60,AOIBands,2,TRUE)</f>
        <v/>
      </c>
      <c r="O60">
        <f>VLOOKUP(Policies!H60,RateTables!$A$31:$B$35,2,TRUE)</f>
        <v/>
      </c>
      <c r="P60">
        <f>VLOOKUP(MIN(Policies!L60,3),ClaimsTable,2,FALSE)</f>
        <v/>
      </c>
      <c r="Q60">
        <f>ROUND(H60*I60*K60*L60*M60*N60*O60*P60,2)</f>
        <v/>
      </c>
      <c r="R60">
        <f>IF(Policies!J60="Y",1,0)</f>
        <v/>
      </c>
      <c r="S60">
        <f>IF(AND(Policies!L60=0,B60&gt;=3),1,0)</f>
        <v/>
      </c>
      <c r="T60">
        <f>IF(B60&lt;=5,1,0)</f>
        <v/>
      </c>
      <c r="U60">
        <f>IF(Policies!K60="Basic",1,0)</f>
        <v/>
      </c>
      <c r="V60">
        <f>IF(Policies!K60="Fortified",1,0)</f>
        <v/>
      </c>
      <c r="W60">
        <f>SUMPRODUCT(R60:V60,CreditPcts)</f>
        <v/>
      </c>
      <c r="X60">
        <f>MIN(W60,CreditCap)</f>
        <v/>
      </c>
      <c r="Y60">
        <f>ROUND(Q60*(1-X60),2)</f>
        <v/>
      </c>
      <c r="Z60">
        <f>IF(Policies!I60="",0.02,Policies!I60)</f>
        <v/>
      </c>
      <c r="AA60">
        <f>IFERROR(VLOOKUP(Z60,HurrDedTable,2,FALSE),1)</f>
        <v/>
      </c>
      <c r="AB60">
        <f>IFERROR(INDEX(RateTables!$L$31:$L$33,MATCH(Policies!K60,RateTables!$K$31:$K$33,0)),1)</f>
        <v/>
      </c>
      <c r="AC60">
        <f>ROUND(F60*D60*J60*AA60*AB60,2)</f>
        <v/>
      </c>
      <c r="AD60">
        <f>MIN(AC60,Policies!G60*HurrCapPct)</f>
        <v/>
      </c>
      <c r="AE60">
        <f>Y60+AD60</f>
        <v/>
      </c>
      <c r="AF60" s="1">
        <f>EDATE(Policies!M60,Policies!N60)</f>
        <v/>
      </c>
      <c r="AG60">
        <f>ROUND(YEARFRAC(Policies!M60,AF60,3),4)</f>
        <v/>
      </c>
      <c r="AH60">
        <f>ROUND(AE60*AG60,2)</f>
        <v/>
      </c>
      <c r="AI60">
        <f>MAX(AH60,MinPremium)</f>
        <v/>
      </c>
      <c r="AJ60">
        <f>ROUNDUP(AI60,0)</f>
        <v/>
      </c>
      <c r="AK60">
        <f>VLOOKUP(Policies!N60,FeeTable,2,FALSE)</f>
        <v/>
      </c>
      <c r="AL60">
        <f>ROUND(AJ60*AssessRate,2)</f>
        <v/>
      </c>
      <c r="AM60">
        <f>ROUND((AJ60+AK60)*G60,2)</f>
        <v/>
      </c>
      <c r="AN60">
        <f>AJ60+AK60+AL60+AM60</f>
        <v/>
      </c>
      <c r="AO60">
        <f>IF(OR(Policies!G60&gt;1000000,C60&gt;20,Policies!L60&gt;=3),"REFER","OK")</f>
        <v/>
      </c>
      <c r="AP60">
        <f>ROUND(AH60/D60,3)</f>
        <v/>
      </c>
      <c r="AQ60">
        <f>Policies!B60&amp;"-"&amp;LEFT(Policies!C60,1)&amp;TEXT(Policies!D60,"00")</f>
        <v/>
      </c>
    </row>
    <row r="61">
      <c r="A61">
        <f>Policies!A61</f>
        <v/>
      </c>
      <c r="B61">
        <f>IFERROR(DATEDIF(DATE(Policies!E61,1,1),Policies!M61,"y"),0)</f>
        <v/>
      </c>
      <c r="C61">
        <f>Policies!F61*1</f>
        <v/>
      </c>
      <c r="D61">
        <f>Policies!G61/1000</f>
        <v/>
      </c>
      <c r="E61">
        <f>VLOOKUP(Policies!B61,BaseRates,2,FALSE)</f>
        <v/>
      </c>
      <c r="F61">
        <f>VLOOKUP(Policies!B61,BaseRates,3,FALSE)</f>
        <v/>
      </c>
      <c r="G61">
        <f>VLOOKUP(Policies!B61,BaseRates,4,FALSE)</f>
        <v/>
      </c>
      <c r="H61">
        <f>ROUND(E61*D61,2)</f>
        <v/>
      </c>
      <c r="I61">
        <f>INDEX(RateTables!$B$13:$B$16,MATCH(Policies!C61,RateTables!$A$13:$A$16,0))</f>
        <v/>
      </c>
      <c r="J61">
        <f>INDEX(RateTables!$C$13:$C$16,MATCH(Policies!C61,RateTables!$A$13:$A$16,0))</f>
        <v/>
      </c>
      <c r="K61">
        <f>INDEX(RateTables!$B$19:$C$28,MATCH(Policies!D61,RateTables!$A$19:$A$28,0),IF(Policies!C61="Frame",1,2))</f>
        <v/>
      </c>
      <c r="L61">
        <f>VLOOKUP(B61,AgeBands,2,TRUE)</f>
        <v/>
      </c>
      <c r="M61">
        <f>VLOOKUP(C61,RoofBands,2,TRUE)</f>
        <v/>
      </c>
      <c r="N61">
        <f>VLOOKUP(Policies!G61,AOIBands,2,TRUE)</f>
        <v/>
      </c>
      <c r="O61">
        <f>VLOOKUP(Policies!H61,RateTables!$A$31:$B$35,2,TRUE)</f>
        <v/>
      </c>
      <c r="P61">
        <f>VLOOKUP(MIN(Policies!L61,3),ClaimsTable,2,FALSE)</f>
        <v/>
      </c>
      <c r="Q61">
        <f>ROUND(H61*I61*K61*L61*M61*N61*O61*P61,2)</f>
        <v/>
      </c>
      <c r="R61">
        <f>IF(Policies!J61="Y",1,0)</f>
        <v/>
      </c>
      <c r="S61">
        <f>IF(AND(Policies!L61=0,B61&gt;=3),1,0)</f>
        <v/>
      </c>
      <c r="T61">
        <f>IF(B61&lt;=5,1,0)</f>
        <v/>
      </c>
      <c r="U61">
        <f>IF(Policies!K61="Basic",1,0)</f>
        <v/>
      </c>
      <c r="V61">
        <f>IF(Policies!K61="Fortified",1,0)</f>
        <v/>
      </c>
      <c r="W61">
        <f>SUMPRODUCT(R61:V61,CreditPcts)</f>
        <v/>
      </c>
      <c r="X61">
        <f>MIN(W61,CreditCap)</f>
        <v/>
      </c>
      <c r="Y61">
        <f>ROUND(Q61*(1-X61),2)</f>
        <v/>
      </c>
      <c r="Z61">
        <f>IF(Policies!I61="",0.02,Policies!I61)</f>
        <v/>
      </c>
      <c r="AA61">
        <f>IFERROR(VLOOKUP(Z61,HurrDedTable,2,FALSE),1)</f>
        <v/>
      </c>
      <c r="AB61">
        <f>IFERROR(INDEX(RateTables!$L$31:$L$33,MATCH(Policies!K61,RateTables!$K$31:$K$33,0)),1)</f>
        <v/>
      </c>
      <c r="AC61">
        <f>ROUND(F61*D61*J61*AA61*AB61,2)</f>
        <v/>
      </c>
      <c r="AD61">
        <f>MIN(AC61,Policies!G61*HurrCapPct)</f>
        <v/>
      </c>
      <c r="AE61">
        <f>Y61+AD61</f>
        <v/>
      </c>
      <c r="AF61" s="1">
        <f>EDATE(Policies!M61,Policies!N61)</f>
        <v/>
      </c>
      <c r="AG61">
        <f>ROUND(YEARFRAC(Policies!M61,AF61,3),4)</f>
        <v/>
      </c>
      <c r="AH61">
        <f>ROUND(AE61*AG61,2)</f>
        <v/>
      </c>
      <c r="AI61">
        <f>MAX(AH61,MinPremium)</f>
        <v/>
      </c>
      <c r="AJ61">
        <f>ROUNDUP(AI61,0)</f>
        <v/>
      </c>
      <c r="AK61">
        <f>VLOOKUP(Policies!N61,FeeTable,2,FALSE)</f>
        <v/>
      </c>
      <c r="AL61">
        <f>ROUND(AJ61*AssessRate,2)</f>
        <v/>
      </c>
      <c r="AM61">
        <f>ROUND((AJ61+AK61)*G61,2)</f>
        <v/>
      </c>
      <c r="AN61">
        <f>AJ61+AK61+AL61+AM61</f>
        <v/>
      </c>
      <c r="AO61">
        <f>IF(OR(Policies!G61&gt;1000000,C61&gt;20,Policies!L61&gt;=3),"REFER","OK")</f>
        <v/>
      </c>
      <c r="AP61">
        <f>ROUND(AH61/D61,3)</f>
        <v/>
      </c>
      <c r="AQ61">
        <f>Policies!B61&amp;"-"&amp;LEFT(Policies!C61,1)&amp;TEXT(Policies!D61,"00")</f>
        <v/>
      </c>
    </row>
    <row r="62">
      <c r="A62">
        <f>Policies!A62</f>
        <v/>
      </c>
      <c r="B62">
        <f>IFERROR(DATEDIF(DATE(Policies!E62,1,1),Policies!M62,"y"),0)</f>
        <v/>
      </c>
      <c r="C62">
        <f>Policies!F62*1</f>
        <v/>
      </c>
      <c r="D62">
        <f>Policies!G62/1000</f>
        <v/>
      </c>
      <c r="E62">
        <f>VLOOKUP(Policies!B62,BaseRates,2,FALSE)</f>
        <v/>
      </c>
      <c r="F62">
        <f>VLOOKUP(Policies!B62,BaseRates,3,FALSE)</f>
        <v/>
      </c>
      <c r="G62">
        <f>VLOOKUP(Policies!B62,BaseRates,4,FALSE)</f>
        <v/>
      </c>
      <c r="H62">
        <f>ROUND(E62*D62,2)</f>
        <v/>
      </c>
      <c r="I62">
        <f>INDEX(RateTables!$B$13:$B$16,MATCH(Policies!C62,RateTables!$A$13:$A$16,0))</f>
        <v/>
      </c>
      <c r="J62">
        <f>INDEX(RateTables!$C$13:$C$16,MATCH(Policies!C62,RateTables!$A$13:$A$16,0))</f>
        <v/>
      </c>
      <c r="K62">
        <f>INDEX(RateTables!$B$19:$C$28,MATCH(Policies!D62,RateTables!$A$19:$A$28,0),IF(Policies!C62="Frame",1,2))</f>
        <v/>
      </c>
      <c r="L62">
        <f>VLOOKUP(B62,AgeBands,2,TRUE)</f>
        <v/>
      </c>
      <c r="M62">
        <f>VLOOKUP(C62,RoofBands,2,TRUE)</f>
        <v/>
      </c>
      <c r="N62">
        <f>VLOOKUP(Policies!G62,AOIBands,2,TRUE)</f>
        <v/>
      </c>
      <c r="O62">
        <f>VLOOKUP(Policies!H62,RateTables!$A$31:$B$35,2,TRUE)</f>
        <v/>
      </c>
      <c r="P62">
        <f>VLOOKUP(MIN(Policies!L62,3),ClaimsTable,2,FALSE)</f>
        <v/>
      </c>
      <c r="Q62">
        <f>ROUND(H62*I62*K62*L62*M62*N62*O62*P62,2)</f>
        <v/>
      </c>
      <c r="R62">
        <f>IF(Policies!J62="Y",1,0)</f>
        <v/>
      </c>
      <c r="S62">
        <f>IF(AND(Policies!L62=0,B62&gt;=3),1,0)</f>
        <v/>
      </c>
      <c r="T62">
        <f>IF(B62&lt;=5,1,0)</f>
        <v/>
      </c>
      <c r="U62">
        <f>IF(Policies!K62="Basic",1,0)</f>
        <v/>
      </c>
      <c r="V62">
        <f>IF(Policies!K62="Fortified",1,0)</f>
        <v/>
      </c>
      <c r="W62">
        <f>SUMPRODUCT(R62:V62,CreditPcts)</f>
        <v/>
      </c>
      <c r="X62">
        <f>MIN(W62,CreditCap)</f>
        <v/>
      </c>
      <c r="Y62">
        <f>ROUND(Q62*(1-X62),2)</f>
        <v/>
      </c>
      <c r="Z62">
        <f>IF(Policies!I62="",0.02,Policies!I62)</f>
        <v/>
      </c>
      <c r="AA62">
        <f>IFERROR(VLOOKUP(Z62,HurrDedTable,2,FALSE),1)</f>
        <v/>
      </c>
      <c r="AB62">
        <f>IFERROR(INDEX(RateTables!$L$31:$L$33,MATCH(Policies!K62,RateTables!$K$31:$K$33,0)),1)</f>
        <v/>
      </c>
      <c r="AC62">
        <f>ROUND(F62*D62*J62*AA62*AB62,2)</f>
        <v/>
      </c>
      <c r="AD62">
        <f>MIN(AC62,Policies!G62*HurrCapPct)</f>
        <v/>
      </c>
      <c r="AE62">
        <f>Y62+AD62</f>
        <v/>
      </c>
      <c r="AF62" s="1">
        <f>EDATE(Policies!M62,Policies!N62)</f>
        <v/>
      </c>
      <c r="AG62">
        <f>ROUND(YEARFRAC(Policies!M62,AF62,3),4)</f>
        <v/>
      </c>
      <c r="AH62">
        <f>ROUND(AE62*AG62,2)</f>
        <v/>
      </c>
      <c r="AI62">
        <f>MAX(AH62,MinPremium)</f>
        <v/>
      </c>
      <c r="AJ62">
        <f>ROUNDUP(AI62,0)</f>
        <v/>
      </c>
      <c r="AK62">
        <f>VLOOKUP(Policies!N62,FeeTable,2,FALSE)</f>
        <v/>
      </c>
      <c r="AL62">
        <f>ROUND(AJ62*AssessRate,2)</f>
        <v/>
      </c>
      <c r="AM62">
        <f>ROUND((AJ62+AK62)*G62,2)</f>
        <v/>
      </c>
      <c r="AN62">
        <f>AJ62+AK62+AL62+AM62</f>
        <v/>
      </c>
      <c r="AO62">
        <f>IF(OR(Policies!G62&gt;1000000,C62&gt;20,Policies!L62&gt;=3),"REFER","OK")</f>
        <v/>
      </c>
      <c r="AP62">
        <f>ROUND(AH62/D62,3)</f>
        <v/>
      </c>
      <c r="AQ62">
        <f>Policies!B62&amp;"-"&amp;LEFT(Policies!C62,1)&amp;TEXT(Policies!D62,"00")</f>
        <v/>
      </c>
    </row>
    <row r="63">
      <c r="A63">
        <f>Policies!A63</f>
        <v/>
      </c>
      <c r="B63">
        <f>IFERROR(DATEDIF(DATE(Policies!E63,1,1),Policies!M63,"y"),0)</f>
        <v/>
      </c>
      <c r="C63">
        <f>Policies!F63*1</f>
        <v/>
      </c>
      <c r="D63">
        <f>Policies!G63/1000</f>
        <v/>
      </c>
      <c r="E63">
        <f>VLOOKUP(Policies!B63,BaseRates,2,FALSE)</f>
        <v/>
      </c>
      <c r="F63">
        <f>VLOOKUP(Policies!B63,BaseRates,3,FALSE)</f>
        <v/>
      </c>
      <c r="G63">
        <f>VLOOKUP(Policies!B63,BaseRates,4,FALSE)</f>
        <v/>
      </c>
      <c r="H63">
        <f>ROUND(E63*D63,2)</f>
        <v/>
      </c>
      <c r="I63">
        <f>INDEX(RateTables!$B$13:$B$16,MATCH(Policies!C63,RateTables!$A$13:$A$16,0))</f>
        <v/>
      </c>
      <c r="J63">
        <f>INDEX(RateTables!$C$13:$C$16,MATCH(Policies!C63,RateTables!$A$13:$A$16,0))</f>
        <v/>
      </c>
      <c r="K63">
        <f>INDEX(RateTables!$B$19:$C$28,MATCH(Policies!D63,RateTables!$A$19:$A$28,0),IF(Policies!C63="Frame",1,2))</f>
        <v/>
      </c>
      <c r="L63">
        <f>VLOOKUP(B63,AgeBands,2,TRUE)</f>
        <v/>
      </c>
      <c r="M63">
        <f>VLOOKUP(C63,RoofBands,2,TRUE)</f>
        <v/>
      </c>
      <c r="N63">
        <f>VLOOKUP(Policies!G63,AOIBands,2,TRUE)</f>
        <v/>
      </c>
      <c r="O63">
        <f>VLOOKUP(Policies!H63,RateTables!$A$31:$B$35,2,TRUE)</f>
        <v/>
      </c>
      <c r="P63">
        <f>VLOOKUP(MIN(Policies!L63,3),ClaimsTable,2,FALSE)</f>
        <v/>
      </c>
      <c r="Q63">
        <f>ROUND(H63*I63*K63*L63*M63*N63*O63*P63,2)</f>
        <v/>
      </c>
      <c r="R63">
        <f>IF(Policies!J63="Y",1,0)</f>
        <v/>
      </c>
      <c r="S63">
        <f>IF(AND(Policies!L63=0,B63&gt;=3),1,0)</f>
        <v/>
      </c>
      <c r="T63">
        <f>IF(B63&lt;=5,1,0)</f>
        <v/>
      </c>
      <c r="U63">
        <f>IF(Policies!K63="Basic",1,0)</f>
        <v/>
      </c>
      <c r="V63">
        <f>IF(Policies!K63="Fortified",1,0)</f>
        <v/>
      </c>
      <c r="W63">
        <f>SUMPRODUCT(R63:V63,CreditPcts)</f>
        <v/>
      </c>
      <c r="X63">
        <f>MIN(W63,CreditCap)</f>
        <v/>
      </c>
      <c r="Y63">
        <f>ROUND(Q63*(1-X63),2)</f>
        <v/>
      </c>
      <c r="Z63">
        <f>IF(Policies!I63="",0.02,Policies!I63)</f>
        <v/>
      </c>
      <c r="AA63">
        <f>IFERROR(VLOOKUP(Z63,HurrDedTable,2,FALSE),1)</f>
        <v/>
      </c>
      <c r="AB63">
        <f>IFERROR(INDEX(RateTables!$L$31:$L$33,MATCH(Policies!K63,RateTables!$K$31:$K$33,0)),1)</f>
        <v/>
      </c>
      <c r="AC63">
        <f>ROUND(F63*D63*J63*AA63*AB63,2)</f>
        <v/>
      </c>
      <c r="AD63">
        <f>MIN(AC63,Policies!G63*HurrCapPct)</f>
        <v/>
      </c>
      <c r="AE63">
        <f>Y63+AD63</f>
        <v/>
      </c>
      <c r="AF63" s="1">
        <f>EDATE(Policies!M63,Policies!N63)</f>
        <v/>
      </c>
      <c r="AG63">
        <f>ROUND(YEARFRAC(Policies!M63,AF63,3),4)</f>
        <v/>
      </c>
      <c r="AH63">
        <f>ROUND(AE63*AG63,2)</f>
        <v/>
      </c>
      <c r="AI63">
        <f>MAX(AH63,MinPremium)</f>
        <v/>
      </c>
      <c r="AJ63">
        <f>ROUNDUP(AI63,0)</f>
        <v/>
      </c>
      <c r="AK63">
        <f>VLOOKUP(Policies!N63,FeeTable,2,FALSE)</f>
        <v/>
      </c>
      <c r="AL63">
        <f>ROUND(AJ63*AssessRate,2)</f>
        <v/>
      </c>
      <c r="AM63">
        <f>ROUND((AJ63+AK63)*G63,2)</f>
        <v/>
      </c>
      <c r="AN63">
        <f>AJ63+AK63+AL63+AM63</f>
        <v/>
      </c>
      <c r="AO63">
        <f>IF(OR(Policies!G63&gt;1000000,C63&gt;20,Policies!L63&gt;=3),"REFER","OK")</f>
        <v/>
      </c>
      <c r="AP63">
        <f>ROUND(AH63/D63,3)</f>
        <v/>
      </c>
      <c r="AQ63">
        <f>Policies!B63&amp;"-"&amp;LEFT(Policies!C63,1)&amp;TEXT(Policies!D63,"00")</f>
        <v/>
      </c>
    </row>
    <row r="64">
      <c r="A64">
        <f>Policies!A64</f>
        <v/>
      </c>
      <c r="B64">
        <f>IFERROR(DATEDIF(DATE(Policies!E64,1,1),Policies!M64,"y"),0)</f>
        <v/>
      </c>
      <c r="C64">
        <f>Policies!F64*1</f>
        <v/>
      </c>
      <c r="D64">
        <f>Policies!G64/1000</f>
        <v/>
      </c>
      <c r="E64">
        <f>VLOOKUP(Policies!B64,BaseRates,2,FALSE)</f>
        <v/>
      </c>
      <c r="F64">
        <f>VLOOKUP(Policies!B64,BaseRates,3,FALSE)</f>
        <v/>
      </c>
      <c r="G64">
        <f>VLOOKUP(Policies!B64,BaseRates,4,FALSE)</f>
        <v/>
      </c>
      <c r="H64">
        <f>ROUND(E64*D64,2)</f>
        <v/>
      </c>
      <c r="I64">
        <f>INDEX(RateTables!$B$13:$B$16,MATCH(Policies!C64,RateTables!$A$13:$A$16,0))</f>
        <v/>
      </c>
      <c r="J64">
        <f>INDEX(RateTables!$C$13:$C$16,MATCH(Policies!C64,RateTables!$A$13:$A$16,0))</f>
        <v/>
      </c>
      <c r="K64">
        <f>INDEX(RateTables!$B$19:$C$28,MATCH(Policies!D64,RateTables!$A$19:$A$28,0),IF(Policies!C64="Frame",1,2))</f>
        <v/>
      </c>
      <c r="L64">
        <f>VLOOKUP(B64,AgeBands,2,TRUE)</f>
        <v/>
      </c>
      <c r="M64">
        <f>VLOOKUP(C64,RoofBands,2,TRUE)</f>
        <v/>
      </c>
      <c r="N64">
        <f>VLOOKUP(Policies!G64,AOIBands,2,TRUE)</f>
        <v/>
      </c>
      <c r="O64">
        <f>VLOOKUP(Policies!H64,RateTables!$A$31:$B$35,2,TRUE)</f>
        <v/>
      </c>
      <c r="P64">
        <f>VLOOKUP(MIN(Policies!L64,3),ClaimsTable,2,FALSE)</f>
        <v/>
      </c>
      <c r="Q64">
        <f>ROUND(H64*I64*K64*L64*M64*N64*O64*P64,2)</f>
        <v/>
      </c>
      <c r="R64">
        <f>IF(Policies!J64="Y",1,0)</f>
        <v/>
      </c>
      <c r="S64">
        <f>IF(AND(Policies!L64=0,B64&gt;=3),1,0)</f>
        <v/>
      </c>
      <c r="T64">
        <f>IF(B64&lt;=5,1,0)</f>
        <v/>
      </c>
      <c r="U64">
        <f>IF(Policies!K64="Basic",1,0)</f>
        <v/>
      </c>
      <c r="V64">
        <f>IF(Policies!K64="Fortified",1,0)</f>
        <v/>
      </c>
      <c r="W64">
        <f>SUMPRODUCT(R64:V64,CreditPcts)</f>
        <v/>
      </c>
      <c r="X64">
        <f>MIN(W64,CreditCap)</f>
        <v/>
      </c>
      <c r="Y64">
        <f>ROUND(Q64*(1-X64),2)</f>
        <v/>
      </c>
      <c r="Z64">
        <f>IF(Policies!I64="",0.02,Policies!I64)</f>
        <v/>
      </c>
      <c r="AA64">
        <f>IFERROR(VLOOKUP(Z64,HurrDedTable,2,FALSE),1)</f>
        <v/>
      </c>
      <c r="AB64">
        <f>IFERROR(INDEX(RateTables!$L$31:$L$33,MATCH(Policies!K64,RateTables!$K$31:$K$33,0)),1)</f>
        <v/>
      </c>
      <c r="AC64">
        <f>ROUND(F64*D64*J64*AA64*AB64,2)</f>
        <v/>
      </c>
      <c r="AD64">
        <f>MIN(AC64,Policies!G64*HurrCapPct)</f>
        <v/>
      </c>
      <c r="AE64">
        <f>Y64+AD64</f>
        <v/>
      </c>
      <c r="AF64" s="1">
        <f>EDATE(Policies!M64,Policies!N64)</f>
        <v/>
      </c>
      <c r="AG64">
        <f>ROUND(YEARFRAC(Policies!M64,AF64,3),4)</f>
        <v/>
      </c>
      <c r="AH64">
        <f>ROUND(AE64*AG64,2)</f>
        <v/>
      </c>
      <c r="AI64">
        <f>MAX(AH64,MinPremium)</f>
        <v/>
      </c>
      <c r="AJ64">
        <f>ROUNDUP(AI64,0)</f>
        <v/>
      </c>
      <c r="AK64">
        <f>VLOOKUP(Policies!N64,FeeTable,2,FALSE)</f>
        <v/>
      </c>
      <c r="AL64">
        <f>ROUND(AJ64*AssessRate,2)</f>
        <v/>
      </c>
      <c r="AM64">
        <f>ROUND((AJ64+AK64)*G64,2)</f>
        <v/>
      </c>
      <c r="AN64">
        <f>AJ64+AK64+AL64+AM64</f>
        <v/>
      </c>
      <c r="AO64">
        <f>IF(OR(Policies!G64&gt;1000000,C64&gt;20,Policies!L64&gt;=3),"REFER","OK")</f>
        <v/>
      </c>
      <c r="AP64">
        <f>ROUND(AH64/D64,3)</f>
        <v/>
      </c>
      <c r="AQ64">
        <f>Policies!B64&amp;"-"&amp;LEFT(Policies!C64,1)&amp;TEXT(Policies!D64,"00")</f>
        <v/>
      </c>
    </row>
    <row r="65">
      <c r="A65">
        <f>Policies!A65</f>
        <v/>
      </c>
      <c r="B65">
        <f>IFERROR(DATEDIF(DATE(Policies!E65,1,1),Policies!M65,"y"),0)</f>
        <v/>
      </c>
      <c r="C65">
        <f>Policies!F65*1</f>
        <v/>
      </c>
      <c r="D65">
        <f>Policies!G65/1000</f>
        <v/>
      </c>
      <c r="E65">
        <f>VLOOKUP(Policies!B65,BaseRates,2,FALSE)</f>
        <v/>
      </c>
      <c r="F65">
        <f>VLOOKUP(Policies!B65,BaseRates,3,FALSE)</f>
        <v/>
      </c>
      <c r="G65">
        <f>VLOOKUP(Policies!B65,BaseRates,4,FALSE)</f>
        <v/>
      </c>
      <c r="H65">
        <f>ROUND(E65*D65,2)</f>
        <v/>
      </c>
      <c r="I65">
        <f>INDEX(RateTables!$B$13:$B$16,MATCH(Policies!C65,RateTables!$A$13:$A$16,0))</f>
        <v/>
      </c>
      <c r="J65">
        <f>INDEX(RateTables!$C$13:$C$16,MATCH(Policies!C65,RateTables!$A$13:$A$16,0))</f>
        <v/>
      </c>
      <c r="K65">
        <f>INDEX(RateTables!$B$19:$C$28,MATCH(Policies!D65,RateTables!$A$19:$A$28,0),IF(Policies!C65="Frame",1,2))</f>
        <v/>
      </c>
      <c r="L65">
        <f>VLOOKUP(B65,AgeBands,2,TRUE)</f>
        <v/>
      </c>
      <c r="M65">
        <f>VLOOKUP(C65,RoofBands,2,TRUE)</f>
        <v/>
      </c>
      <c r="N65">
        <f>VLOOKUP(Policies!G65,AOIBands,2,TRUE)</f>
        <v/>
      </c>
      <c r="O65">
        <f>VLOOKUP(Policies!H65,RateTables!$A$31:$B$35,2,TRUE)</f>
        <v/>
      </c>
      <c r="P65">
        <f>VLOOKUP(MIN(Policies!L65,3),ClaimsTable,2,FALSE)</f>
        <v/>
      </c>
      <c r="Q65">
        <f>ROUND(H65*I65*K65*L65*M65*N65*O65*P65,2)</f>
        <v/>
      </c>
      <c r="R65">
        <f>IF(Policies!J65="Y",1,0)</f>
        <v/>
      </c>
      <c r="S65">
        <f>IF(AND(Policies!L65=0,B65&gt;=3),1,0)</f>
        <v/>
      </c>
      <c r="T65">
        <f>IF(B65&lt;=5,1,0)</f>
        <v/>
      </c>
      <c r="U65">
        <f>IF(Policies!K65="Basic",1,0)</f>
        <v/>
      </c>
      <c r="V65">
        <f>IF(Policies!K65="Fortified",1,0)</f>
        <v/>
      </c>
      <c r="W65">
        <f>SUMPRODUCT(R65:V65,CreditPcts)</f>
        <v/>
      </c>
      <c r="X65">
        <f>MIN(W65,CreditCap)</f>
        <v/>
      </c>
      <c r="Y65">
        <f>ROUND(Q65*(1-X65),2)</f>
        <v/>
      </c>
      <c r="Z65">
        <f>IF(Policies!I65="",0.02,Policies!I65)</f>
        <v/>
      </c>
      <c r="AA65">
        <f>IFERROR(VLOOKUP(Z65,HurrDedTable,2,FALSE),1)</f>
        <v/>
      </c>
      <c r="AB65">
        <f>IFERROR(INDEX(RateTables!$L$31:$L$33,MATCH(Policies!K65,RateTables!$K$31:$K$33,0)),1)</f>
        <v/>
      </c>
      <c r="AC65">
        <f>ROUND(F65*D65*J65*AA65*AB65,2)</f>
        <v/>
      </c>
      <c r="AD65">
        <f>MIN(AC65,Policies!G65*HurrCapPct)</f>
        <v/>
      </c>
      <c r="AE65">
        <f>Y65+AD65</f>
        <v/>
      </c>
      <c r="AF65" s="1">
        <f>EDATE(Policies!M65,Policies!N65)</f>
        <v/>
      </c>
      <c r="AG65">
        <f>ROUND(YEARFRAC(Policies!M65,AF65,3),4)</f>
        <v/>
      </c>
      <c r="AH65">
        <f>ROUND(AE65*AG65,2)</f>
        <v/>
      </c>
      <c r="AI65">
        <f>MAX(AH65,MinPremium)</f>
        <v/>
      </c>
      <c r="AJ65">
        <f>ROUNDUP(AI65,0)</f>
        <v/>
      </c>
      <c r="AK65">
        <f>VLOOKUP(Policies!N65,FeeTable,2,FALSE)</f>
        <v/>
      </c>
      <c r="AL65">
        <f>ROUND(AJ65*AssessRate,2)</f>
        <v/>
      </c>
      <c r="AM65">
        <f>ROUND((AJ65+AK65)*G65,2)</f>
        <v/>
      </c>
      <c r="AN65">
        <f>AJ65+AK65+AL65+AM65</f>
        <v/>
      </c>
      <c r="AO65">
        <f>IF(OR(Policies!G65&gt;1000000,C65&gt;20,Policies!L65&gt;=3),"REFER","OK")</f>
        <v/>
      </c>
      <c r="AP65">
        <f>ROUND(AH65/D65,3)</f>
        <v/>
      </c>
      <c r="AQ65">
        <f>Policies!B65&amp;"-"&amp;LEFT(Policies!C65,1)&amp;TEXT(Policies!D65,"00")</f>
        <v/>
      </c>
    </row>
    <row r="66">
      <c r="A66">
        <f>Policies!A66</f>
        <v/>
      </c>
      <c r="B66">
        <f>IFERROR(DATEDIF(DATE(Policies!E66,1,1),Policies!M66,"y"),0)</f>
        <v/>
      </c>
      <c r="C66">
        <f>Policies!F66*1</f>
        <v/>
      </c>
      <c r="D66">
        <f>Policies!G66/1000</f>
        <v/>
      </c>
      <c r="E66">
        <f>VLOOKUP(Policies!B66,BaseRates,2,FALSE)</f>
        <v/>
      </c>
      <c r="F66">
        <f>VLOOKUP(Policies!B66,BaseRates,3,FALSE)</f>
        <v/>
      </c>
      <c r="G66">
        <f>VLOOKUP(Policies!B66,BaseRates,4,FALSE)</f>
        <v/>
      </c>
      <c r="H66">
        <f>ROUND(E66*D66,2)</f>
        <v/>
      </c>
      <c r="I66">
        <f>INDEX(RateTables!$B$13:$B$16,MATCH(Policies!C66,RateTables!$A$13:$A$16,0))</f>
        <v/>
      </c>
      <c r="J66">
        <f>INDEX(RateTables!$C$13:$C$16,MATCH(Policies!C66,RateTables!$A$13:$A$16,0))</f>
        <v/>
      </c>
      <c r="K66">
        <f>INDEX(RateTables!$B$19:$C$28,MATCH(Policies!D66,RateTables!$A$19:$A$28,0),IF(Policies!C66="Frame",1,2))</f>
        <v/>
      </c>
      <c r="L66">
        <f>VLOOKUP(B66,AgeBands,2,TRUE)</f>
        <v/>
      </c>
      <c r="M66">
        <f>VLOOKUP(C66,RoofBands,2,TRUE)</f>
        <v/>
      </c>
      <c r="N66">
        <f>VLOOKUP(Policies!G66,AOIBands,2,TRUE)</f>
        <v/>
      </c>
      <c r="O66">
        <f>VLOOKUP(Policies!H66,RateTables!$A$31:$B$35,2,TRUE)</f>
        <v/>
      </c>
      <c r="P66">
        <f>VLOOKUP(MIN(Policies!L66,3),ClaimsTable,2,FALSE)</f>
        <v/>
      </c>
      <c r="Q66">
        <f>ROUND(H66*I66*K66*L66*M66*N66*O66*P66,2)</f>
        <v/>
      </c>
      <c r="R66">
        <f>IF(Policies!J66="Y",1,0)</f>
        <v/>
      </c>
      <c r="S66">
        <f>IF(AND(Policies!L66=0,B66&gt;=3),1,0)</f>
        <v/>
      </c>
      <c r="T66">
        <f>IF(B66&lt;=5,1,0)</f>
        <v/>
      </c>
      <c r="U66">
        <f>IF(Policies!K66="Basic",1,0)</f>
        <v/>
      </c>
      <c r="V66">
        <f>IF(Policies!K66="Fortified",1,0)</f>
        <v/>
      </c>
      <c r="W66">
        <f>SUMPRODUCT(R66:V66,CreditPcts)</f>
        <v/>
      </c>
      <c r="X66">
        <f>MIN(W66,CreditCap)</f>
        <v/>
      </c>
      <c r="Y66">
        <f>ROUND(Q66*(1-X66),2)</f>
        <v/>
      </c>
      <c r="Z66">
        <f>IF(Policies!I66="",0.02,Policies!I66)</f>
        <v/>
      </c>
      <c r="AA66">
        <f>IFERROR(VLOOKUP(Z66,HurrDedTable,2,FALSE),1)</f>
        <v/>
      </c>
      <c r="AB66">
        <f>IFERROR(INDEX(RateTables!$L$31:$L$33,MATCH(Policies!K66,RateTables!$K$31:$K$33,0)),1)</f>
        <v/>
      </c>
      <c r="AC66">
        <f>ROUND(F66*D66*J66*AA66*AB66,2)</f>
        <v/>
      </c>
      <c r="AD66">
        <f>MIN(AC66,Policies!G66*HurrCapPct)</f>
        <v/>
      </c>
      <c r="AE66">
        <f>Y66+AD66</f>
        <v/>
      </c>
      <c r="AF66" s="1">
        <f>EDATE(Policies!M66,Policies!N66)</f>
        <v/>
      </c>
      <c r="AG66">
        <f>ROUND(YEARFRAC(Policies!M66,AF66,3),4)</f>
        <v/>
      </c>
      <c r="AH66">
        <f>ROUND(AE66*AG66,2)</f>
        <v/>
      </c>
      <c r="AI66">
        <f>MAX(AH66,MinPremium)</f>
        <v/>
      </c>
      <c r="AJ66">
        <f>ROUNDUP(AI66,0)</f>
        <v/>
      </c>
      <c r="AK66">
        <f>VLOOKUP(Policies!N66,FeeTable,2,FALSE)</f>
        <v/>
      </c>
      <c r="AL66">
        <f>ROUND(AJ66*AssessRate,2)</f>
        <v/>
      </c>
      <c r="AM66">
        <f>ROUND((AJ66+AK66)*G66,2)</f>
        <v/>
      </c>
      <c r="AN66">
        <f>AJ66+AK66+AL66+AM66</f>
        <v/>
      </c>
      <c r="AO66">
        <f>IF(OR(Policies!G66&gt;1000000,C66&gt;20,Policies!L66&gt;=3),"REFER","OK")</f>
        <v/>
      </c>
      <c r="AP66">
        <f>ROUND(AH66/D66,3)</f>
        <v/>
      </c>
      <c r="AQ66">
        <f>Policies!B66&amp;"-"&amp;LEFT(Policies!C66,1)&amp;TEXT(Policies!D66,"00")</f>
        <v/>
      </c>
    </row>
    <row r="67">
      <c r="A67">
        <f>Policies!A67</f>
        <v/>
      </c>
      <c r="B67">
        <f>IFERROR(DATEDIF(DATE(Policies!E67,1,1),Policies!M67,"y"),0)</f>
        <v/>
      </c>
      <c r="C67">
        <f>Policies!F67*1</f>
        <v/>
      </c>
      <c r="D67">
        <f>Policies!G67/1000</f>
        <v/>
      </c>
      <c r="E67">
        <f>VLOOKUP(Policies!B67,BaseRates,2,FALSE)</f>
        <v/>
      </c>
      <c r="F67">
        <f>VLOOKUP(Policies!B67,BaseRates,3,FALSE)</f>
        <v/>
      </c>
      <c r="G67">
        <f>VLOOKUP(Policies!B67,BaseRates,4,FALSE)</f>
        <v/>
      </c>
      <c r="H67">
        <f>ROUND(E67*D67,2)</f>
        <v/>
      </c>
      <c r="I67">
        <f>INDEX(RateTables!$B$13:$B$16,MATCH(Policies!C67,RateTables!$A$13:$A$16,0))</f>
        <v/>
      </c>
      <c r="J67">
        <f>INDEX(RateTables!$C$13:$C$16,MATCH(Policies!C67,RateTables!$A$13:$A$16,0))</f>
        <v/>
      </c>
      <c r="K67">
        <f>INDEX(RateTables!$B$19:$C$28,MATCH(Policies!D67,RateTables!$A$19:$A$28,0),IF(Policies!C67="Frame",1,2))</f>
        <v/>
      </c>
      <c r="L67">
        <f>VLOOKUP(B67,AgeBands,2,TRUE)</f>
        <v/>
      </c>
      <c r="M67">
        <f>VLOOKUP(C67,RoofBands,2,TRUE)</f>
        <v/>
      </c>
      <c r="N67">
        <f>VLOOKUP(Policies!G67,AOIBands,2,TRUE)</f>
        <v/>
      </c>
      <c r="O67">
        <f>VLOOKUP(Policies!H67,RateTables!$A$31:$B$35,2,TRUE)</f>
        <v/>
      </c>
      <c r="P67">
        <f>VLOOKUP(MIN(Policies!L67,3),ClaimsTable,2,FALSE)</f>
        <v/>
      </c>
      <c r="Q67">
        <f>ROUND(H67*I67*K67*L67*M67*N67*O67*P67,2)</f>
        <v/>
      </c>
      <c r="R67">
        <f>IF(Policies!J67="Y",1,0)</f>
        <v/>
      </c>
      <c r="S67">
        <f>IF(AND(Policies!L67=0,B67&gt;=3),1,0)</f>
        <v/>
      </c>
      <c r="T67">
        <f>IF(B67&lt;=5,1,0)</f>
        <v/>
      </c>
      <c r="U67">
        <f>IF(Policies!K67="Basic",1,0)</f>
        <v/>
      </c>
      <c r="V67">
        <f>IF(Policies!K67="Fortified",1,0)</f>
        <v/>
      </c>
      <c r="W67">
        <f>SUMPRODUCT(R67:V67,CreditPcts)</f>
        <v/>
      </c>
      <c r="X67">
        <f>MIN(W67,CreditCap)</f>
        <v/>
      </c>
      <c r="Y67">
        <f>ROUND(Q67*(1-X67),2)</f>
        <v/>
      </c>
      <c r="Z67">
        <f>IF(Policies!I67="",0.02,Policies!I67)</f>
        <v/>
      </c>
      <c r="AA67">
        <f>IFERROR(VLOOKUP(Z67,HurrDedTable,2,FALSE),1)</f>
        <v/>
      </c>
      <c r="AB67">
        <f>IFERROR(INDEX(RateTables!$L$31:$L$33,MATCH(Policies!K67,RateTables!$K$31:$K$33,0)),1)</f>
        <v/>
      </c>
      <c r="AC67">
        <f>ROUND(F67*D67*J67*AA67*AB67,2)</f>
        <v/>
      </c>
      <c r="AD67">
        <f>MIN(AC67,Policies!G67*HurrCapPct)</f>
        <v/>
      </c>
      <c r="AE67">
        <f>Y67+AD67</f>
        <v/>
      </c>
      <c r="AF67" s="1">
        <f>EDATE(Policies!M67,Policies!N67)</f>
        <v/>
      </c>
      <c r="AG67">
        <f>ROUND(YEARFRAC(Policies!M67,AF67,3),4)</f>
        <v/>
      </c>
      <c r="AH67">
        <f>ROUND(AE67*AG67,2)</f>
        <v/>
      </c>
      <c r="AI67">
        <f>MAX(AH67,MinPremium)</f>
        <v/>
      </c>
      <c r="AJ67">
        <f>ROUNDUP(AI67,0)</f>
        <v/>
      </c>
      <c r="AK67">
        <f>VLOOKUP(Policies!N67,FeeTable,2,FALSE)</f>
        <v/>
      </c>
      <c r="AL67">
        <f>ROUND(AJ67*AssessRate,2)</f>
        <v/>
      </c>
      <c r="AM67">
        <f>ROUND((AJ67+AK67)*G67,2)</f>
        <v/>
      </c>
      <c r="AN67">
        <f>AJ67+AK67+AL67+AM67</f>
        <v/>
      </c>
      <c r="AO67">
        <f>IF(OR(Policies!G67&gt;1000000,C67&gt;20,Policies!L67&gt;=3),"REFER","OK")</f>
        <v/>
      </c>
      <c r="AP67">
        <f>ROUND(AH67/D67,3)</f>
        <v/>
      </c>
      <c r="AQ67">
        <f>Policies!B67&amp;"-"&amp;LEFT(Policies!C67,1)&amp;TEXT(Policies!D67,"00")</f>
        <v/>
      </c>
    </row>
    <row r="68">
      <c r="A68">
        <f>Policies!A68</f>
        <v/>
      </c>
      <c r="B68">
        <f>IFERROR(DATEDIF(DATE(Policies!E68,1,1),Policies!M68,"y"),0)</f>
        <v/>
      </c>
      <c r="C68">
        <f>Policies!F68*1</f>
        <v/>
      </c>
      <c r="D68">
        <f>Policies!G68/1000</f>
        <v/>
      </c>
      <c r="E68">
        <f>VLOOKUP(Policies!B68,BaseRates,2,FALSE)</f>
        <v/>
      </c>
      <c r="F68">
        <f>VLOOKUP(Policies!B68,BaseRates,3,FALSE)</f>
        <v/>
      </c>
      <c r="G68">
        <f>VLOOKUP(Policies!B68,BaseRates,4,FALSE)</f>
        <v/>
      </c>
      <c r="H68">
        <f>ROUND(E68*D68,2)</f>
        <v/>
      </c>
      <c r="I68">
        <f>INDEX(RateTables!$B$13:$B$16,MATCH(Policies!C68,RateTables!$A$13:$A$16,0))</f>
        <v/>
      </c>
      <c r="J68">
        <f>INDEX(RateTables!$C$13:$C$16,MATCH(Policies!C68,RateTables!$A$13:$A$16,0))</f>
        <v/>
      </c>
      <c r="K68">
        <f>INDEX(RateTables!$B$19:$C$28,MATCH(Policies!D68,RateTables!$A$19:$A$28,0),IF(Policies!C68="Frame",1,2))</f>
        <v/>
      </c>
      <c r="L68">
        <f>VLOOKUP(B68,AgeBands,2,TRUE)</f>
        <v/>
      </c>
      <c r="M68">
        <f>VLOOKUP(C68,RoofBands,2,TRUE)</f>
        <v/>
      </c>
      <c r="N68">
        <f>VLOOKUP(Policies!G68,AOIBands,2,TRUE)</f>
        <v/>
      </c>
      <c r="O68">
        <f>VLOOKUP(Policies!H68,RateTables!$A$31:$B$35,2,TRUE)</f>
        <v/>
      </c>
      <c r="P68">
        <f>VLOOKUP(MIN(Policies!L68,3),ClaimsTable,2,FALSE)</f>
        <v/>
      </c>
      <c r="Q68">
        <f>ROUND(H68*I68*K68*L68*M68*N68*O68*P68,2)</f>
        <v/>
      </c>
      <c r="R68">
        <f>IF(Policies!J68="Y",1,0)</f>
        <v/>
      </c>
      <c r="S68">
        <f>IF(AND(Policies!L68=0,B68&gt;=3),1,0)</f>
        <v/>
      </c>
      <c r="T68">
        <f>IF(B68&lt;=5,1,0)</f>
        <v/>
      </c>
      <c r="U68">
        <f>IF(Policies!K68="Basic",1,0)</f>
        <v/>
      </c>
      <c r="V68">
        <f>IF(Policies!K68="Fortified",1,0)</f>
        <v/>
      </c>
      <c r="W68">
        <f>SUMPRODUCT(R68:V68,CreditPcts)</f>
        <v/>
      </c>
      <c r="X68">
        <f>MIN(W68,CreditCap)</f>
        <v/>
      </c>
      <c r="Y68">
        <f>ROUND(Q68*(1-X68),2)</f>
        <v/>
      </c>
      <c r="Z68">
        <f>IF(Policies!I68="",0.02,Policies!I68)</f>
        <v/>
      </c>
      <c r="AA68">
        <f>IFERROR(VLOOKUP(Z68,HurrDedTable,2,FALSE),1)</f>
        <v/>
      </c>
      <c r="AB68">
        <f>IFERROR(INDEX(RateTables!$L$31:$L$33,MATCH(Policies!K68,RateTables!$K$31:$K$33,0)),1)</f>
        <v/>
      </c>
      <c r="AC68">
        <f>ROUND(F68*D68*J68*AA68*AB68,2)</f>
        <v/>
      </c>
      <c r="AD68">
        <f>MIN(AC68,Policies!G68*HurrCapPct)</f>
        <v/>
      </c>
      <c r="AE68">
        <f>Y68+AD68</f>
        <v/>
      </c>
      <c r="AF68" s="1">
        <f>EDATE(Policies!M68,Policies!N68)</f>
        <v/>
      </c>
      <c r="AG68">
        <f>ROUND(YEARFRAC(Policies!M68,AF68,3),4)</f>
        <v/>
      </c>
      <c r="AH68">
        <f>ROUND(AE68*AG68,2)</f>
        <v/>
      </c>
      <c r="AI68">
        <f>MAX(AH68,MinPremium)</f>
        <v/>
      </c>
      <c r="AJ68">
        <f>ROUNDUP(AI68,0)</f>
        <v/>
      </c>
      <c r="AK68">
        <f>VLOOKUP(Policies!N68,FeeTable,2,FALSE)</f>
        <v/>
      </c>
      <c r="AL68">
        <f>ROUND(AJ68*AssessRate,2)</f>
        <v/>
      </c>
      <c r="AM68">
        <f>ROUND((AJ68+AK68)*G68,2)</f>
        <v/>
      </c>
      <c r="AN68">
        <f>AJ68+AK68+AL68+AM68</f>
        <v/>
      </c>
      <c r="AO68">
        <f>IF(OR(Policies!G68&gt;1000000,C68&gt;20,Policies!L68&gt;=3),"REFER","OK")</f>
        <v/>
      </c>
      <c r="AP68">
        <f>ROUND(AH68/D68,3)</f>
        <v/>
      </c>
      <c r="AQ68">
        <f>Policies!B68&amp;"-"&amp;LEFT(Policies!C68,1)&amp;TEXT(Policies!D68,"00")</f>
        <v/>
      </c>
    </row>
    <row r="69">
      <c r="A69">
        <f>Policies!A69</f>
        <v/>
      </c>
      <c r="B69">
        <f>IFERROR(DATEDIF(DATE(Policies!E69,1,1),Policies!M69,"y"),0)</f>
        <v/>
      </c>
      <c r="C69">
        <f>Policies!F69*1</f>
        <v/>
      </c>
      <c r="D69">
        <f>Policies!G69/1000</f>
        <v/>
      </c>
      <c r="E69">
        <f>VLOOKUP(Policies!B69,BaseRates,2,FALSE)</f>
        <v/>
      </c>
      <c r="F69">
        <f>VLOOKUP(Policies!B69,BaseRates,3,FALSE)</f>
        <v/>
      </c>
      <c r="G69">
        <f>VLOOKUP(Policies!B69,BaseRates,4,FALSE)</f>
        <v/>
      </c>
      <c r="H69">
        <f>ROUND(E69*D69,2)</f>
        <v/>
      </c>
      <c r="I69">
        <f>INDEX(RateTables!$B$13:$B$16,MATCH(Policies!C69,RateTables!$A$13:$A$16,0))</f>
        <v/>
      </c>
      <c r="J69">
        <f>INDEX(RateTables!$C$13:$C$16,MATCH(Policies!C69,RateTables!$A$13:$A$16,0))</f>
        <v/>
      </c>
      <c r="K69">
        <f>INDEX(RateTables!$B$19:$C$28,MATCH(Policies!D69,RateTables!$A$19:$A$28,0),IF(Policies!C69="Frame",1,2))</f>
        <v/>
      </c>
      <c r="L69">
        <f>VLOOKUP(B69,AgeBands,2,TRUE)</f>
        <v/>
      </c>
      <c r="M69">
        <f>VLOOKUP(C69,RoofBands,2,TRUE)</f>
        <v/>
      </c>
      <c r="N69">
        <f>VLOOKUP(Policies!G69,AOIBands,2,TRUE)</f>
        <v/>
      </c>
      <c r="O69">
        <f>VLOOKUP(Policies!H69,RateTables!$A$31:$B$35,2,TRUE)</f>
        <v/>
      </c>
      <c r="P69">
        <f>VLOOKUP(MIN(Policies!L69,3),ClaimsTable,2,FALSE)</f>
        <v/>
      </c>
      <c r="Q69">
        <f>ROUND(H69*I69*K69*L69*M69*N69*O69*P69,2)</f>
        <v/>
      </c>
      <c r="R69">
        <f>IF(Policies!J69="Y",1,0)</f>
        <v/>
      </c>
      <c r="S69">
        <f>IF(AND(Policies!L69=0,B69&gt;=3),1,0)</f>
        <v/>
      </c>
      <c r="T69">
        <f>IF(B69&lt;=5,1,0)</f>
        <v/>
      </c>
      <c r="U69">
        <f>IF(Policies!K69="Basic",1,0)</f>
        <v/>
      </c>
      <c r="V69">
        <f>IF(Policies!K69="Fortified",1,0)</f>
        <v/>
      </c>
      <c r="W69">
        <f>SUMPRODUCT(R69:V69,CreditPcts)</f>
        <v/>
      </c>
      <c r="X69">
        <f>MIN(W69,CreditCap)</f>
        <v/>
      </c>
      <c r="Y69">
        <f>ROUND(Q69*(1-X69),2)</f>
        <v/>
      </c>
      <c r="Z69">
        <f>IF(Policies!I69="",0.02,Policies!I69)</f>
        <v/>
      </c>
      <c r="AA69">
        <f>IFERROR(VLOOKUP(Z69,HurrDedTable,2,FALSE),1)</f>
        <v/>
      </c>
      <c r="AB69">
        <f>IFERROR(INDEX(RateTables!$L$31:$L$33,MATCH(Policies!K69,RateTables!$K$31:$K$33,0)),1)</f>
        <v/>
      </c>
      <c r="AC69">
        <f>ROUND(F69*D69*J69*AA69*AB69,2)</f>
        <v/>
      </c>
      <c r="AD69">
        <f>MIN(AC69,Policies!G69*HurrCapPct)</f>
        <v/>
      </c>
      <c r="AE69">
        <f>Y69+AD69</f>
        <v/>
      </c>
      <c r="AF69" s="1">
        <f>EDATE(Policies!M69,Policies!N69)</f>
        <v/>
      </c>
      <c r="AG69">
        <f>ROUND(YEARFRAC(Policies!M69,AF69,3),4)</f>
        <v/>
      </c>
      <c r="AH69">
        <f>ROUND(AE69*AG69,2)</f>
        <v/>
      </c>
      <c r="AI69">
        <f>MAX(AH69,MinPremium)</f>
        <v/>
      </c>
      <c r="AJ69">
        <f>ROUNDUP(AI69,0)</f>
        <v/>
      </c>
      <c r="AK69">
        <f>VLOOKUP(Policies!N69,FeeTable,2,FALSE)</f>
        <v/>
      </c>
      <c r="AL69">
        <f>ROUND(AJ69*AssessRate,2)</f>
        <v/>
      </c>
      <c r="AM69">
        <f>ROUND((AJ69+AK69)*G69,2)</f>
        <v/>
      </c>
      <c r="AN69">
        <f>AJ69+AK69+AL69+AM69</f>
        <v/>
      </c>
      <c r="AO69">
        <f>IF(OR(Policies!G69&gt;1000000,C69&gt;20,Policies!L69&gt;=3),"REFER","OK")</f>
        <v/>
      </c>
      <c r="AP69">
        <f>ROUND(AH69/D69,3)</f>
        <v/>
      </c>
      <c r="AQ69">
        <f>Policies!B69&amp;"-"&amp;LEFT(Policies!C69,1)&amp;TEXT(Policies!D69,"00")</f>
        <v/>
      </c>
    </row>
    <row r="70">
      <c r="A70">
        <f>Policies!A70</f>
        <v/>
      </c>
      <c r="B70">
        <f>IFERROR(DATEDIF(DATE(Policies!E70,1,1),Policies!M70,"y"),0)</f>
        <v/>
      </c>
      <c r="C70">
        <f>Policies!F70*1</f>
        <v/>
      </c>
      <c r="D70">
        <f>Policies!G70/1000</f>
        <v/>
      </c>
      <c r="E70">
        <f>VLOOKUP(Policies!B70,BaseRates,2,FALSE)</f>
        <v/>
      </c>
      <c r="F70">
        <f>VLOOKUP(Policies!B70,BaseRates,3,FALSE)</f>
        <v/>
      </c>
      <c r="G70">
        <f>VLOOKUP(Policies!B70,BaseRates,4,FALSE)</f>
        <v/>
      </c>
      <c r="H70">
        <f>ROUND(E70*D70,2)</f>
        <v/>
      </c>
      <c r="I70">
        <f>INDEX(RateTables!$B$13:$B$16,MATCH(Policies!C70,RateTables!$A$13:$A$16,0))</f>
        <v/>
      </c>
      <c r="J70">
        <f>INDEX(RateTables!$C$13:$C$16,MATCH(Policies!C70,RateTables!$A$13:$A$16,0))</f>
        <v/>
      </c>
      <c r="K70">
        <f>INDEX(RateTables!$B$19:$C$28,MATCH(Policies!D70,RateTables!$A$19:$A$28,0),IF(Policies!C70="Frame",1,2))</f>
        <v/>
      </c>
      <c r="L70">
        <f>VLOOKUP(B70,AgeBands,2,TRUE)</f>
        <v/>
      </c>
      <c r="M70">
        <f>VLOOKUP(C70,RoofBands,2,TRUE)</f>
        <v/>
      </c>
      <c r="N70">
        <f>VLOOKUP(Policies!G70,AOIBands,2,TRUE)</f>
        <v/>
      </c>
      <c r="O70">
        <f>VLOOKUP(Policies!H70,RateTables!$A$31:$B$35,2,TRUE)</f>
        <v/>
      </c>
      <c r="P70">
        <f>VLOOKUP(MIN(Policies!L70,3),ClaimsTable,2,FALSE)</f>
        <v/>
      </c>
      <c r="Q70">
        <f>ROUND(H70*I70*K70*L70*M70*N70*O70*P70,2)</f>
        <v/>
      </c>
      <c r="R70">
        <f>IF(Policies!J70="Y",1,0)</f>
        <v/>
      </c>
      <c r="S70">
        <f>IF(AND(Policies!L70=0,B70&gt;=3),1,0)</f>
        <v/>
      </c>
      <c r="T70">
        <f>IF(B70&lt;=5,1,0)</f>
        <v/>
      </c>
      <c r="U70">
        <f>IF(Policies!K70="Basic",1,0)</f>
        <v/>
      </c>
      <c r="V70">
        <f>IF(Policies!K70="Fortified",1,0)</f>
        <v/>
      </c>
      <c r="W70">
        <f>SUMPRODUCT(R70:V70,CreditPcts)</f>
        <v/>
      </c>
      <c r="X70">
        <f>MIN(W70,CreditCap)</f>
        <v/>
      </c>
      <c r="Y70">
        <f>ROUND(Q70*(1-X70),2)</f>
        <v/>
      </c>
      <c r="Z70">
        <f>IF(Policies!I70="",0.02,Policies!I70)</f>
        <v/>
      </c>
      <c r="AA70">
        <f>IFERROR(VLOOKUP(Z70,HurrDedTable,2,FALSE),1)</f>
        <v/>
      </c>
      <c r="AB70">
        <f>IFERROR(INDEX(RateTables!$L$31:$L$33,MATCH(Policies!K70,RateTables!$K$31:$K$33,0)),1)</f>
        <v/>
      </c>
      <c r="AC70">
        <f>ROUND(F70*D70*J70*AA70*AB70,2)</f>
        <v/>
      </c>
      <c r="AD70">
        <f>MIN(AC70,Policies!G70*HurrCapPct)</f>
        <v/>
      </c>
      <c r="AE70">
        <f>Y70+AD70</f>
        <v/>
      </c>
      <c r="AF70" s="1">
        <f>EDATE(Policies!M70,Policies!N70)</f>
        <v/>
      </c>
      <c r="AG70">
        <f>ROUND(YEARFRAC(Policies!M70,AF70,3),4)</f>
        <v/>
      </c>
      <c r="AH70">
        <f>ROUND(AE70*AG70,2)</f>
        <v/>
      </c>
      <c r="AI70">
        <f>MAX(AH70,MinPremium)</f>
        <v/>
      </c>
      <c r="AJ70">
        <f>ROUNDUP(AI70,0)</f>
        <v/>
      </c>
      <c r="AK70">
        <f>VLOOKUP(Policies!N70,FeeTable,2,FALSE)</f>
        <v/>
      </c>
      <c r="AL70">
        <f>ROUND(AJ70*AssessRate,2)</f>
        <v/>
      </c>
      <c r="AM70">
        <f>ROUND((AJ70+AK70)*G70,2)</f>
        <v/>
      </c>
      <c r="AN70">
        <f>AJ70+AK70+AL70+AM70</f>
        <v/>
      </c>
      <c r="AO70">
        <f>IF(OR(Policies!G70&gt;1000000,C70&gt;20,Policies!L70&gt;=3),"REFER","OK")</f>
        <v/>
      </c>
      <c r="AP70">
        <f>ROUND(AH70/D70,3)</f>
        <v/>
      </c>
      <c r="AQ70">
        <f>Policies!B70&amp;"-"&amp;LEFT(Policies!C70,1)&amp;TEXT(Policies!D70,"00")</f>
        <v/>
      </c>
    </row>
    <row r="71">
      <c r="A71">
        <f>Policies!A71</f>
        <v/>
      </c>
      <c r="B71">
        <f>IFERROR(DATEDIF(DATE(Policies!E71,1,1),Policies!M71,"y"),0)</f>
        <v/>
      </c>
      <c r="C71">
        <f>Policies!F71*1</f>
        <v/>
      </c>
      <c r="D71">
        <f>Policies!G71/1000</f>
        <v/>
      </c>
      <c r="E71">
        <f>VLOOKUP(Policies!B71,BaseRates,2,FALSE)</f>
        <v/>
      </c>
      <c r="F71">
        <f>VLOOKUP(Policies!B71,BaseRates,3,FALSE)</f>
        <v/>
      </c>
      <c r="G71">
        <f>VLOOKUP(Policies!B71,BaseRates,4,FALSE)</f>
        <v/>
      </c>
      <c r="H71">
        <f>ROUND(E71*D71,2)</f>
        <v/>
      </c>
      <c r="I71">
        <f>INDEX(RateTables!$B$13:$B$16,MATCH(Policies!C71,RateTables!$A$13:$A$16,0))</f>
        <v/>
      </c>
      <c r="J71">
        <f>INDEX(RateTables!$C$13:$C$16,MATCH(Policies!C71,RateTables!$A$13:$A$16,0))</f>
        <v/>
      </c>
      <c r="K71">
        <f>INDEX(RateTables!$B$19:$C$28,MATCH(Policies!D71,RateTables!$A$19:$A$28,0),IF(Policies!C71="Frame",1,2))</f>
        <v/>
      </c>
      <c r="L71">
        <f>VLOOKUP(B71,AgeBands,2,TRUE)</f>
        <v/>
      </c>
      <c r="M71">
        <f>VLOOKUP(C71,RoofBands,2,TRUE)</f>
        <v/>
      </c>
      <c r="N71">
        <f>VLOOKUP(Policies!G71,AOIBands,2,TRUE)</f>
        <v/>
      </c>
      <c r="O71">
        <f>VLOOKUP(Policies!H71,RateTables!$A$31:$B$35,2,TRUE)</f>
        <v/>
      </c>
      <c r="P71">
        <f>VLOOKUP(MIN(Policies!L71,3),ClaimsTable,2,FALSE)</f>
        <v/>
      </c>
      <c r="Q71">
        <f>ROUND(H71*I71*K71*L71*M71*N71*O71*P71,2)</f>
        <v/>
      </c>
      <c r="R71">
        <f>IF(Policies!J71="Y",1,0)</f>
        <v/>
      </c>
      <c r="S71">
        <f>IF(AND(Policies!L71=0,B71&gt;=3),1,0)</f>
        <v/>
      </c>
      <c r="T71">
        <f>IF(B71&lt;=5,1,0)</f>
        <v/>
      </c>
      <c r="U71">
        <f>IF(Policies!K71="Basic",1,0)</f>
        <v/>
      </c>
      <c r="V71">
        <f>IF(Policies!K71="Fortified",1,0)</f>
        <v/>
      </c>
      <c r="W71">
        <f>SUMPRODUCT(R71:V71,CreditPcts)</f>
        <v/>
      </c>
      <c r="X71">
        <f>MIN(W71,CreditCap)</f>
        <v/>
      </c>
      <c r="Y71">
        <f>ROUND(Q71*(1-X71),2)</f>
        <v/>
      </c>
      <c r="Z71">
        <f>IF(Policies!I71="",0.02,Policies!I71)</f>
        <v/>
      </c>
      <c r="AA71">
        <f>IFERROR(VLOOKUP(Z71,HurrDedTable,2,FALSE),1)</f>
        <v/>
      </c>
      <c r="AB71">
        <f>IFERROR(INDEX(RateTables!$L$31:$L$33,MATCH(Policies!K71,RateTables!$K$31:$K$33,0)),1)</f>
        <v/>
      </c>
      <c r="AC71">
        <f>ROUND(F71*D71*J71*AA71*AB71,2)</f>
        <v/>
      </c>
      <c r="AD71">
        <f>MIN(AC71,Policies!G71*HurrCapPct)</f>
        <v/>
      </c>
      <c r="AE71">
        <f>Y71+AD71</f>
        <v/>
      </c>
      <c r="AF71" s="1">
        <f>EDATE(Policies!M71,Policies!N71)</f>
        <v/>
      </c>
      <c r="AG71">
        <f>ROUND(YEARFRAC(Policies!M71,AF71,3),4)</f>
        <v/>
      </c>
      <c r="AH71">
        <f>ROUND(AE71*AG71,2)</f>
        <v/>
      </c>
      <c r="AI71">
        <f>MAX(AH71,MinPremium)</f>
        <v/>
      </c>
      <c r="AJ71">
        <f>ROUNDUP(AI71,0)</f>
        <v/>
      </c>
      <c r="AK71">
        <f>VLOOKUP(Policies!N71,FeeTable,2,FALSE)</f>
        <v/>
      </c>
      <c r="AL71">
        <f>ROUND(AJ71*AssessRate,2)</f>
        <v/>
      </c>
      <c r="AM71">
        <f>ROUND((AJ71+AK71)*G71,2)</f>
        <v/>
      </c>
      <c r="AN71">
        <f>AJ71+AK71+AL71+AM71</f>
        <v/>
      </c>
      <c r="AO71">
        <f>IF(OR(Policies!G71&gt;1000000,C71&gt;20,Policies!L71&gt;=3),"REFER","OK")</f>
        <v/>
      </c>
      <c r="AP71">
        <f>ROUND(AH71/D71,3)</f>
        <v/>
      </c>
      <c r="AQ71">
        <f>Policies!B71&amp;"-"&amp;LEFT(Policies!C71,1)&amp;TEXT(Policies!D71,"00")</f>
        <v/>
      </c>
    </row>
    <row r="72">
      <c r="A72">
        <f>Policies!A72</f>
        <v/>
      </c>
      <c r="B72">
        <f>IFERROR(DATEDIF(DATE(Policies!E72,1,1),Policies!M72,"y"),0)</f>
        <v/>
      </c>
      <c r="C72">
        <f>Policies!F72*1</f>
        <v/>
      </c>
      <c r="D72">
        <f>Policies!G72/1000</f>
        <v/>
      </c>
      <c r="E72">
        <f>VLOOKUP(Policies!B72,BaseRates,2,FALSE)</f>
        <v/>
      </c>
      <c r="F72">
        <f>VLOOKUP(Policies!B72,BaseRates,3,FALSE)</f>
        <v/>
      </c>
      <c r="G72">
        <f>VLOOKUP(Policies!B72,BaseRates,4,FALSE)</f>
        <v/>
      </c>
      <c r="H72">
        <f>ROUND(E72*D72,2)</f>
        <v/>
      </c>
      <c r="I72">
        <f>INDEX(RateTables!$B$13:$B$16,MATCH(Policies!C72,RateTables!$A$13:$A$16,0))</f>
        <v/>
      </c>
      <c r="J72">
        <f>INDEX(RateTables!$C$13:$C$16,MATCH(Policies!C72,RateTables!$A$13:$A$16,0))</f>
        <v/>
      </c>
      <c r="K72">
        <f>INDEX(RateTables!$B$19:$C$28,MATCH(Policies!D72,RateTables!$A$19:$A$28,0),IF(Policies!C72="Frame",1,2))</f>
        <v/>
      </c>
      <c r="L72">
        <f>VLOOKUP(B72,AgeBands,2,TRUE)</f>
        <v/>
      </c>
      <c r="M72">
        <f>VLOOKUP(C72,RoofBands,2,TRUE)</f>
        <v/>
      </c>
      <c r="N72">
        <f>VLOOKUP(Policies!G72,AOIBands,2,TRUE)</f>
        <v/>
      </c>
      <c r="O72">
        <f>VLOOKUP(Policies!H72,RateTables!$A$31:$B$35,2,TRUE)</f>
        <v/>
      </c>
      <c r="P72">
        <f>VLOOKUP(MIN(Policies!L72,3),ClaimsTable,2,FALSE)</f>
        <v/>
      </c>
      <c r="Q72">
        <f>ROUND(H72*I72*K72*L72*M72*N72*O72*P72,2)</f>
        <v/>
      </c>
      <c r="R72">
        <f>IF(Policies!J72="Y",1,0)</f>
        <v/>
      </c>
      <c r="S72">
        <f>IF(AND(Policies!L72=0,B72&gt;=3),1,0)</f>
        <v/>
      </c>
      <c r="T72">
        <f>IF(B72&lt;=5,1,0)</f>
        <v/>
      </c>
      <c r="U72">
        <f>IF(Policies!K72="Basic",1,0)</f>
        <v/>
      </c>
      <c r="V72">
        <f>IF(Policies!K72="Fortified",1,0)</f>
        <v/>
      </c>
      <c r="W72">
        <f>SUMPRODUCT(R72:V72,CreditPcts)</f>
        <v/>
      </c>
      <c r="X72">
        <f>MIN(W72,CreditCap)</f>
        <v/>
      </c>
      <c r="Y72">
        <f>ROUND(Q72*(1-X72),2)</f>
        <v/>
      </c>
      <c r="Z72">
        <f>IF(Policies!I72="",0.02,Policies!I72)</f>
        <v/>
      </c>
      <c r="AA72">
        <f>IFERROR(VLOOKUP(Z72,HurrDedTable,2,FALSE),1)</f>
        <v/>
      </c>
      <c r="AB72">
        <f>IFERROR(INDEX(RateTables!$L$31:$L$33,MATCH(Policies!K72,RateTables!$K$31:$K$33,0)),1)</f>
        <v/>
      </c>
      <c r="AC72">
        <f>ROUND(F72*D72*J72*AA72*AB72,2)</f>
        <v/>
      </c>
      <c r="AD72">
        <f>MIN(AC72,Policies!G72*HurrCapPct)</f>
        <v/>
      </c>
      <c r="AE72">
        <f>Y72+AD72</f>
        <v/>
      </c>
      <c r="AF72" s="1">
        <f>EDATE(Policies!M72,Policies!N72)</f>
        <v/>
      </c>
      <c r="AG72">
        <f>ROUND(YEARFRAC(Policies!M72,AF72,3),4)</f>
        <v/>
      </c>
      <c r="AH72">
        <f>ROUND(AE72*AG72,2)</f>
        <v/>
      </c>
      <c r="AI72">
        <f>MAX(AH72,MinPremium)</f>
        <v/>
      </c>
      <c r="AJ72">
        <f>ROUNDUP(AI72,0)</f>
        <v/>
      </c>
      <c r="AK72">
        <f>VLOOKUP(Policies!N72,FeeTable,2,FALSE)</f>
        <v/>
      </c>
      <c r="AL72">
        <f>ROUND(AJ72*AssessRate,2)</f>
        <v/>
      </c>
      <c r="AM72">
        <f>ROUND((AJ72+AK72)*G72,2)</f>
        <v/>
      </c>
      <c r="AN72">
        <f>AJ72+AK72+AL72+AM72</f>
        <v/>
      </c>
      <c r="AO72">
        <f>IF(OR(Policies!G72&gt;1000000,C72&gt;20,Policies!L72&gt;=3),"REFER","OK")</f>
        <v/>
      </c>
      <c r="AP72">
        <f>ROUND(AH72/D72,3)</f>
        <v/>
      </c>
      <c r="AQ72">
        <f>Policies!B72&amp;"-"&amp;LEFT(Policies!C72,1)&amp;TEXT(Policies!D72,"00")</f>
        <v/>
      </c>
    </row>
    <row r="73">
      <c r="A73">
        <f>Policies!A73</f>
        <v/>
      </c>
      <c r="B73">
        <f>IFERROR(DATEDIF(DATE(Policies!E73,1,1),Policies!M73,"y"),0)</f>
        <v/>
      </c>
      <c r="C73">
        <f>Policies!F73*1</f>
        <v/>
      </c>
      <c r="D73">
        <f>Policies!G73/1000</f>
        <v/>
      </c>
      <c r="E73">
        <f>VLOOKUP(Policies!B73,BaseRates,2,FALSE)</f>
        <v/>
      </c>
      <c r="F73">
        <f>VLOOKUP(Policies!B73,BaseRates,3,FALSE)</f>
        <v/>
      </c>
      <c r="G73">
        <f>VLOOKUP(Policies!B73,BaseRates,4,FALSE)</f>
        <v/>
      </c>
      <c r="H73">
        <f>ROUND(E73*D73,2)</f>
        <v/>
      </c>
      <c r="I73">
        <f>INDEX(RateTables!$B$13:$B$16,MATCH(Policies!C73,RateTables!$A$13:$A$16,0))</f>
        <v/>
      </c>
      <c r="J73">
        <f>INDEX(RateTables!$C$13:$C$16,MATCH(Policies!C73,RateTables!$A$13:$A$16,0))</f>
        <v/>
      </c>
      <c r="K73">
        <f>INDEX(RateTables!$B$19:$C$28,MATCH(Policies!D73,RateTables!$A$19:$A$28,0),IF(Policies!C73="Frame",1,2))</f>
        <v/>
      </c>
      <c r="L73">
        <f>VLOOKUP(B73,AgeBands,2,TRUE)</f>
        <v/>
      </c>
      <c r="M73">
        <f>VLOOKUP(C73,RoofBands,2,TRUE)</f>
        <v/>
      </c>
      <c r="N73">
        <f>VLOOKUP(Policies!G73,AOIBands,2,TRUE)</f>
        <v/>
      </c>
      <c r="O73">
        <f>VLOOKUP(Policies!H73,RateTables!$A$31:$B$35,2,TRUE)</f>
        <v/>
      </c>
      <c r="P73">
        <f>VLOOKUP(MIN(Policies!L73,3),ClaimsTable,2,FALSE)</f>
        <v/>
      </c>
      <c r="Q73">
        <f>ROUND(H73*I73*K73*L73*M73*N73*O73*P73,2)</f>
        <v/>
      </c>
      <c r="R73">
        <f>IF(Policies!J73="Y",1,0)</f>
        <v/>
      </c>
      <c r="S73">
        <f>IF(AND(Policies!L73=0,B73&gt;=3),1,0)</f>
        <v/>
      </c>
      <c r="T73">
        <f>IF(B73&lt;=5,1,0)</f>
        <v/>
      </c>
      <c r="U73">
        <f>IF(Policies!K73="Basic",1,0)</f>
        <v/>
      </c>
      <c r="V73">
        <f>IF(Policies!K73="Fortified",1,0)</f>
        <v/>
      </c>
      <c r="W73">
        <f>SUMPRODUCT(R73:V73,CreditPcts)</f>
        <v/>
      </c>
      <c r="X73">
        <f>MIN(W73,CreditCap)</f>
        <v/>
      </c>
      <c r="Y73">
        <f>ROUND(Q73*(1-X73),2)</f>
        <v/>
      </c>
      <c r="Z73">
        <f>IF(Policies!I73="",0.02,Policies!I73)</f>
        <v/>
      </c>
      <c r="AA73">
        <f>IFERROR(VLOOKUP(Z73,HurrDedTable,2,FALSE),1)</f>
        <v/>
      </c>
      <c r="AB73">
        <f>IFERROR(INDEX(RateTables!$L$31:$L$33,MATCH(Policies!K73,RateTables!$K$31:$K$33,0)),1)</f>
        <v/>
      </c>
      <c r="AC73">
        <f>ROUND(F73*D73*J73*AA73*AB73,2)</f>
        <v/>
      </c>
      <c r="AD73">
        <f>MIN(AC73,Policies!G73*HurrCapPct)</f>
        <v/>
      </c>
      <c r="AE73">
        <f>Y73+AD73</f>
        <v/>
      </c>
      <c r="AF73" s="1">
        <f>EDATE(Policies!M73,Policies!N73)</f>
        <v/>
      </c>
      <c r="AG73">
        <f>ROUND(YEARFRAC(Policies!M73,AF73,3),4)</f>
        <v/>
      </c>
      <c r="AH73">
        <f>ROUND(AE73*AG73,2)</f>
        <v/>
      </c>
      <c r="AI73">
        <f>MAX(AH73,MinPremium)</f>
        <v/>
      </c>
      <c r="AJ73">
        <f>ROUNDUP(AI73,0)</f>
        <v/>
      </c>
      <c r="AK73">
        <f>VLOOKUP(Policies!N73,FeeTable,2,FALSE)</f>
        <v/>
      </c>
      <c r="AL73">
        <f>ROUND(AJ73*AssessRate,2)</f>
        <v/>
      </c>
      <c r="AM73">
        <f>ROUND((AJ73+AK73)*G73,2)</f>
        <v/>
      </c>
      <c r="AN73">
        <f>AJ73+AK73+AL73+AM73</f>
        <v/>
      </c>
      <c r="AO73">
        <f>IF(OR(Policies!G73&gt;1000000,C73&gt;20,Policies!L73&gt;=3),"REFER","OK")</f>
        <v/>
      </c>
      <c r="AP73">
        <f>ROUND(AH73/D73,3)</f>
        <v/>
      </c>
      <c r="AQ73">
        <f>Policies!B73&amp;"-"&amp;LEFT(Policies!C73,1)&amp;TEXT(Policies!D73,"00")</f>
        <v/>
      </c>
    </row>
    <row r="74">
      <c r="A74">
        <f>Policies!A74</f>
        <v/>
      </c>
      <c r="B74">
        <f>IFERROR(DATEDIF(DATE(Policies!E74,1,1),Policies!M74,"y"),0)</f>
        <v/>
      </c>
      <c r="C74">
        <f>Policies!F74*1</f>
        <v/>
      </c>
      <c r="D74">
        <f>Policies!G74/1000</f>
        <v/>
      </c>
      <c r="E74">
        <f>VLOOKUP(Policies!B74,BaseRates,2,FALSE)</f>
        <v/>
      </c>
      <c r="F74">
        <f>VLOOKUP(Policies!B74,BaseRates,3,FALSE)</f>
        <v/>
      </c>
      <c r="G74">
        <f>VLOOKUP(Policies!B74,BaseRates,4,FALSE)</f>
        <v/>
      </c>
      <c r="H74">
        <f>ROUND(E74*D74,2)</f>
        <v/>
      </c>
      <c r="I74">
        <f>INDEX(RateTables!$B$13:$B$16,MATCH(Policies!C74,RateTables!$A$13:$A$16,0))</f>
        <v/>
      </c>
      <c r="J74">
        <f>INDEX(RateTables!$C$13:$C$16,MATCH(Policies!C74,RateTables!$A$13:$A$16,0))</f>
        <v/>
      </c>
      <c r="K74">
        <f>INDEX(RateTables!$B$19:$C$28,MATCH(Policies!D74,RateTables!$A$19:$A$28,0),IF(Policies!C74="Frame",1,2))</f>
        <v/>
      </c>
      <c r="L74">
        <f>VLOOKUP(B74,AgeBands,2,TRUE)</f>
        <v/>
      </c>
      <c r="M74">
        <f>VLOOKUP(C74,RoofBands,2,TRUE)</f>
        <v/>
      </c>
      <c r="N74">
        <f>VLOOKUP(Policies!G74,AOIBands,2,TRUE)</f>
        <v/>
      </c>
      <c r="O74">
        <f>VLOOKUP(Policies!H74,RateTables!$A$31:$B$35,2,TRUE)</f>
        <v/>
      </c>
      <c r="P74">
        <f>VLOOKUP(MIN(Policies!L74,3),ClaimsTable,2,FALSE)</f>
        <v/>
      </c>
      <c r="Q74">
        <f>ROUND(H74*I74*K74*L74*M74*N74*O74*P74,2)</f>
        <v/>
      </c>
      <c r="R74">
        <f>IF(Policies!J74="Y",1,0)</f>
        <v/>
      </c>
      <c r="S74">
        <f>IF(AND(Policies!L74=0,B74&gt;=3),1,0)</f>
        <v/>
      </c>
      <c r="T74">
        <f>IF(B74&lt;=5,1,0)</f>
        <v/>
      </c>
      <c r="U74">
        <f>IF(Policies!K74="Basic",1,0)</f>
        <v/>
      </c>
      <c r="V74">
        <f>IF(Policies!K74="Fortified",1,0)</f>
        <v/>
      </c>
      <c r="W74">
        <f>SUMPRODUCT(R74:V74,CreditPcts)</f>
        <v/>
      </c>
      <c r="X74">
        <f>MIN(W74,CreditCap)</f>
        <v/>
      </c>
      <c r="Y74">
        <f>ROUND(Q74*(1-X74),2)</f>
        <v/>
      </c>
      <c r="Z74">
        <f>IF(Policies!I74="",0.02,Policies!I74)</f>
        <v/>
      </c>
      <c r="AA74">
        <f>IFERROR(VLOOKUP(Z74,HurrDedTable,2,FALSE),1)</f>
        <v/>
      </c>
      <c r="AB74">
        <f>IFERROR(INDEX(RateTables!$L$31:$L$33,MATCH(Policies!K74,RateTables!$K$31:$K$33,0)),1)</f>
        <v/>
      </c>
      <c r="AC74">
        <f>ROUND(F74*D74*J74*AA74*AB74,2)</f>
        <v/>
      </c>
      <c r="AD74">
        <f>MIN(AC74,Policies!G74*HurrCapPct)</f>
        <v/>
      </c>
      <c r="AE74">
        <f>Y74+AD74</f>
        <v/>
      </c>
      <c r="AF74" s="1">
        <f>EDATE(Policies!M74,Policies!N74)</f>
        <v/>
      </c>
      <c r="AG74">
        <f>ROUND(YEARFRAC(Policies!M74,AF74,3),4)</f>
        <v/>
      </c>
      <c r="AH74">
        <f>ROUND(AE74*AG74,2)</f>
        <v/>
      </c>
      <c r="AI74">
        <f>MAX(AH74,MinPremium)</f>
        <v/>
      </c>
      <c r="AJ74">
        <f>ROUNDUP(AI74,0)</f>
        <v/>
      </c>
      <c r="AK74">
        <f>VLOOKUP(Policies!N74,FeeTable,2,FALSE)</f>
        <v/>
      </c>
      <c r="AL74">
        <f>ROUND(AJ74*AssessRate,2)</f>
        <v/>
      </c>
      <c r="AM74">
        <f>ROUND((AJ74+AK74)*G74,2)</f>
        <v/>
      </c>
      <c r="AN74">
        <f>AJ74+AK74+AL74+AM74</f>
        <v/>
      </c>
      <c r="AO74">
        <f>IF(OR(Policies!G74&gt;1000000,C74&gt;20,Policies!L74&gt;=3),"REFER","OK")</f>
        <v/>
      </c>
      <c r="AP74">
        <f>ROUND(AH74/D74,3)</f>
        <v/>
      </c>
      <c r="AQ74">
        <f>Policies!B74&amp;"-"&amp;LEFT(Policies!C74,1)&amp;TEXT(Policies!D74,"00")</f>
        <v/>
      </c>
    </row>
    <row r="75">
      <c r="A75">
        <f>Policies!A75</f>
        <v/>
      </c>
      <c r="B75">
        <f>IFERROR(DATEDIF(DATE(Policies!E75,1,1),Policies!M75,"y"),0)</f>
        <v/>
      </c>
      <c r="C75">
        <f>Policies!F75*1</f>
        <v/>
      </c>
      <c r="D75">
        <f>Policies!G75/1000</f>
        <v/>
      </c>
      <c r="E75">
        <f>VLOOKUP(Policies!B75,BaseRates,2,FALSE)</f>
        <v/>
      </c>
      <c r="F75">
        <f>VLOOKUP(Policies!B75,BaseRates,3,FALSE)</f>
        <v/>
      </c>
      <c r="G75">
        <f>VLOOKUP(Policies!B75,BaseRates,4,FALSE)</f>
        <v/>
      </c>
      <c r="H75">
        <f>ROUND(E75*D75,2)</f>
        <v/>
      </c>
      <c r="I75">
        <f>INDEX(RateTables!$B$13:$B$16,MATCH(Policies!C75,RateTables!$A$13:$A$16,0))</f>
        <v/>
      </c>
      <c r="J75">
        <f>INDEX(RateTables!$C$13:$C$16,MATCH(Policies!C75,RateTables!$A$13:$A$16,0))</f>
        <v/>
      </c>
      <c r="K75">
        <f>INDEX(RateTables!$B$19:$C$28,MATCH(Policies!D75,RateTables!$A$19:$A$28,0),IF(Policies!C75="Frame",1,2))</f>
        <v/>
      </c>
      <c r="L75">
        <f>VLOOKUP(B75,AgeBands,2,TRUE)</f>
        <v/>
      </c>
      <c r="M75">
        <f>VLOOKUP(C75,RoofBands,2,TRUE)</f>
        <v/>
      </c>
      <c r="N75">
        <f>VLOOKUP(Policies!G75,AOIBands,2,TRUE)</f>
        <v/>
      </c>
      <c r="O75">
        <f>VLOOKUP(Policies!H75,RateTables!$A$31:$B$35,2,TRUE)</f>
        <v/>
      </c>
      <c r="P75">
        <f>VLOOKUP(MIN(Policies!L75,3),ClaimsTable,2,FALSE)</f>
        <v/>
      </c>
      <c r="Q75">
        <f>ROUND(H75*I75*K75*L75*M75*N75*O75*P75,2)</f>
        <v/>
      </c>
      <c r="R75">
        <f>IF(Policies!J75="Y",1,0)</f>
        <v/>
      </c>
      <c r="S75">
        <f>IF(AND(Policies!L75=0,B75&gt;=3),1,0)</f>
        <v/>
      </c>
      <c r="T75">
        <f>IF(B75&lt;=5,1,0)</f>
        <v/>
      </c>
      <c r="U75">
        <f>IF(Policies!K75="Basic",1,0)</f>
        <v/>
      </c>
      <c r="V75">
        <f>IF(Policies!K75="Fortified",1,0)</f>
        <v/>
      </c>
      <c r="W75">
        <f>SUMPRODUCT(R75:V75,CreditPcts)</f>
        <v/>
      </c>
      <c r="X75">
        <f>MIN(W75,CreditCap)</f>
        <v/>
      </c>
      <c r="Y75">
        <f>ROUND(Q75*(1-X75),2)</f>
        <v/>
      </c>
      <c r="Z75">
        <f>IF(Policies!I75="",0.02,Policies!I75)</f>
        <v/>
      </c>
      <c r="AA75">
        <f>IFERROR(VLOOKUP(Z75,HurrDedTable,2,FALSE),1)</f>
        <v/>
      </c>
      <c r="AB75">
        <f>IFERROR(INDEX(RateTables!$L$31:$L$33,MATCH(Policies!K75,RateTables!$K$31:$K$33,0)),1)</f>
        <v/>
      </c>
      <c r="AC75">
        <f>ROUND(F75*D75*J75*AA75*AB75,2)</f>
        <v/>
      </c>
      <c r="AD75">
        <f>MIN(AC75,Policies!G75*HurrCapPct)</f>
        <v/>
      </c>
      <c r="AE75">
        <f>Y75+AD75</f>
        <v/>
      </c>
      <c r="AF75" s="1">
        <f>EDATE(Policies!M75,Policies!N75)</f>
        <v/>
      </c>
      <c r="AG75">
        <f>ROUND(YEARFRAC(Policies!M75,AF75,3),4)</f>
        <v/>
      </c>
      <c r="AH75">
        <f>ROUND(AE75*AG75,2)</f>
        <v/>
      </c>
      <c r="AI75">
        <f>MAX(AH75,MinPremium)</f>
        <v/>
      </c>
      <c r="AJ75">
        <f>ROUNDUP(AI75,0)</f>
        <v/>
      </c>
      <c r="AK75">
        <f>VLOOKUP(Policies!N75,FeeTable,2,FALSE)</f>
        <v/>
      </c>
      <c r="AL75">
        <f>ROUND(AJ75*AssessRate,2)</f>
        <v/>
      </c>
      <c r="AM75">
        <f>ROUND((AJ75+AK75)*G75,2)</f>
        <v/>
      </c>
      <c r="AN75">
        <f>AJ75+AK75+AL75+AM75</f>
        <v/>
      </c>
      <c r="AO75">
        <f>IF(OR(Policies!G75&gt;1000000,C75&gt;20,Policies!L75&gt;=3),"REFER","OK")</f>
        <v/>
      </c>
      <c r="AP75">
        <f>ROUND(AH75/D75,3)</f>
        <v/>
      </c>
      <c r="AQ75">
        <f>Policies!B75&amp;"-"&amp;LEFT(Policies!C75,1)&amp;TEXT(Policies!D75,"00")</f>
        <v/>
      </c>
    </row>
    <row r="76">
      <c r="A76">
        <f>Policies!A76</f>
        <v/>
      </c>
      <c r="B76">
        <f>IFERROR(DATEDIF(DATE(Policies!E76,1,1),Policies!M76,"y"),0)</f>
        <v/>
      </c>
      <c r="C76">
        <f>Policies!F76*1</f>
        <v/>
      </c>
      <c r="D76">
        <f>Policies!G76/1000</f>
        <v/>
      </c>
      <c r="E76">
        <f>VLOOKUP(Policies!B76,BaseRates,2,FALSE)</f>
        <v/>
      </c>
      <c r="F76">
        <f>VLOOKUP(Policies!B76,BaseRates,3,FALSE)</f>
        <v/>
      </c>
      <c r="G76">
        <f>VLOOKUP(Policies!B76,BaseRates,4,FALSE)</f>
        <v/>
      </c>
      <c r="H76">
        <f>ROUND(E76*D76,2)</f>
        <v/>
      </c>
      <c r="I76">
        <f>INDEX(RateTables!$B$13:$B$16,MATCH(Policies!C76,RateTables!$A$13:$A$16,0))</f>
        <v/>
      </c>
      <c r="J76">
        <f>INDEX(RateTables!$C$13:$C$16,MATCH(Policies!C76,RateTables!$A$13:$A$16,0))</f>
        <v/>
      </c>
      <c r="K76">
        <f>INDEX(RateTables!$B$19:$C$28,MATCH(Policies!D76,RateTables!$A$19:$A$28,0),IF(Policies!C76="Frame",1,2))</f>
        <v/>
      </c>
      <c r="L76">
        <f>VLOOKUP(B76,AgeBands,2,TRUE)</f>
        <v/>
      </c>
      <c r="M76">
        <f>VLOOKUP(C76,RoofBands,2,TRUE)</f>
        <v/>
      </c>
      <c r="N76">
        <f>VLOOKUP(Policies!G76,AOIBands,2,TRUE)</f>
        <v/>
      </c>
      <c r="O76">
        <f>VLOOKUP(Policies!H76,RateTables!$A$31:$B$35,2,TRUE)</f>
        <v/>
      </c>
      <c r="P76">
        <f>VLOOKUP(MIN(Policies!L76,3),ClaimsTable,2,FALSE)</f>
        <v/>
      </c>
      <c r="Q76">
        <f>ROUND(H76*I76*K76*L76*M76*N76*O76*P76,2)</f>
        <v/>
      </c>
      <c r="R76">
        <f>IF(Policies!J76="Y",1,0)</f>
        <v/>
      </c>
      <c r="S76">
        <f>IF(AND(Policies!L76=0,B76&gt;=3),1,0)</f>
        <v/>
      </c>
      <c r="T76">
        <f>IF(B76&lt;=5,1,0)</f>
        <v/>
      </c>
      <c r="U76">
        <f>IF(Policies!K76="Basic",1,0)</f>
        <v/>
      </c>
      <c r="V76">
        <f>IF(Policies!K76="Fortified",1,0)</f>
        <v/>
      </c>
      <c r="W76">
        <f>SUMPRODUCT(R76:V76,CreditPcts)</f>
        <v/>
      </c>
      <c r="X76">
        <f>MIN(W76,CreditCap)</f>
        <v/>
      </c>
      <c r="Y76">
        <f>ROUND(Q76*(1-X76),2)</f>
        <v/>
      </c>
      <c r="Z76">
        <f>IF(Policies!I76="",0.02,Policies!I76)</f>
        <v/>
      </c>
      <c r="AA76">
        <f>IFERROR(VLOOKUP(Z76,HurrDedTable,2,FALSE),1)</f>
        <v/>
      </c>
      <c r="AB76">
        <f>IFERROR(INDEX(RateTables!$L$31:$L$33,MATCH(Policies!K76,RateTables!$K$31:$K$33,0)),1)</f>
        <v/>
      </c>
      <c r="AC76">
        <f>ROUND(F76*D76*J76*AA76*AB76,2)</f>
        <v/>
      </c>
      <c r="AD76">
        <f>MIN(AC76,Policies!G76*HurrCapPct)</f>
        <v/>
      </c>
      <c r="AE76">
        <f>Y76+AD76</f>
        <v/>
      </c>
      <c r="AF76" s="1">
        <f>EDATE(Policies!M76,Policies!N76)</f>
        <v/>
      </c>
      <c r="AG76">
        <f>ROUND(YEARFRAC(Policies!M76,AF76,3),4)</f>
        <v/>
      </c>
      <c r="AH76">
        <f>ROUND(AE76*AG76,2)</f>
        <v/>
      </c>
      <c r="AI76">
        <f>MAX(AH76,MinPremium)</f>
        <v/>
      </c>
      <c r="AJ76">
        <f>ROUNDUP(AI76,0)</f>
        <v/>
      </c>
      <c r="AK76">
        <f>VLOOKUP(Policies!N76,FeeTable,2,FALSE)</f>
        <v/>
      </c>
      <c r="AL76">
        <f>ROUND(AJ76*AssessRate,2)</f>
        <v/>
      </c>
      <c r="AM76">
        <f>ROUND((AJ76+AK76)*G76,2)</f>
        <v/>
      </c>
      <c r="AN76">
        <f>AJ76+AK76+AL76+AM76</f>
        <v/>
      </c>
      <c r="AO76">
        <f>IF(OR(Policies!G76&gt;1000000,C76&gt;20,Policies!L76&gt;=3),"REFER","OK")</f>
        <v/>
      </c>
      <c r="AP76">
        <f>ROUND(AH76/D76,3)</f>
        <v/>
      </c>
      <c r="AQ76">
        <f>Policies!B76&amp;"-"&amp;LEFT(Policies!C76,1)&amp;TEXT(Policies!D76,"00")</f>
        <v/>
      </c>
    </row>
    <row r="77">
      <c r="A77">
        <f>Policies!A77</f>
        <v/>
      </c>
      <c r="B77">
        <f>IFERROR(DATEDIF(DATE(Policies!E77,1,1),Policies!M77,"y"),0)</f>
        <v/>
      </c>
      <c r="C77">
        <f>Policies!F77*1</f>
        <v/>
      </c>
      <c r="D77">
        <f>Policies!G77/1000</f>
        <v/>
      </c>
      <c r="E77">
        <f>VLOOKUP(Policies!B77,BaseRates,2,FALSE)</f>
        <v/>
      </c>
      <c r="F77">
        <f>VLOOKUP(Policies!B77,BaseRates,3,FALSE)</f>
        <v/>
      </c>
      <c r="G77">
        <f>VLOOKUP(Policies!B77,BaseRates,4,FALSE)</f>
        <v/>
      </c>
      <c r="H77">
        <f>ROUND(E77*D77,2)</f>
        <v/>
      </c>
      <c r="I77">
        <f>INDEX(RateTables!$B$13:$B$16,MATCH(Policies!C77,RateTables!$A$13:$A$16,0))</f>
        <v/>
      </c>
      <c r="J77">
        <f>INDEX(RateTables!$C$13:$C$16,MATCH(Policies!C77,RateTables!$A$13:$A$16,0))</f>
        <v/>
      </c>
      <c r="K77">
        <f>INDEX(RateTables!$B$19:$C$28,MATCH(Policies!D77,RateTables!$A$19:$A$28,0),IF(Policies!C77="Frame",1,2))</f>
        <v/>
      </c>
      <c r="L77">
        <f>VLOOKUP(B77,AgeBands,2,TRUE)</f>
        <v/>
      </c>
      <c r="M77">
        <f>VLOOKUP(C77,RoofBands,2,TRUE)</f>
        <v/>
      </c>
      <c r="N77">
        <f>VLOOKUP(Policies!G77,AOIBands,2,TRUE)</f>
        <v/>
      </c>
      <c r="O77">
        <f>VLOOKUP(Policies!H77,RateTables!$A$31:$B$35,2,TRUE)</f>
        <v/>
      </c>
      <c r="P77">
        <f>VLOOKUP(MIN(Policies!L77,3),ClaimsTable,2,FALSE)</f>
        <v/>
      </c>
      <c r="Q77">
        <f>ROUND(H77*I77*K77*L77*M77*N77*O77*P77,2)</f>
        <v/>
      </c>
      <c r="R77">
        <f>IF(Policies!J77="Y",1,0)</f>
        <v/>
      </c>
      <c r="S77">
        <f>IF(AND(Policies!L77=0,B77&gt;=3),1,0)</f>
        <v/>
      </c>
      <c r="T77">
        <f>IF(B77&lt;=5,1,0)</f>
        <v/>
      </c>
      <c r="U77">
        <f>IF(Policies!K77="Basic",1,0)</f>
        <v/>
      </c>
      <c r="V77">
        <f>IF(Policies!K77="Fortified",1,0)</f>
        <v/>
      </c>
      <c r="W77">
        <f>SUMPRODUCT(R77:V77,CreditPcts)</f>
        <v/>
      </c>
      <c r="X77">
        <f>MIN(W77,CreditCap)</f>
        <v/>
      </c>
      <c r="Y77">
        <f>ROUND(Q77*(1-X77),2)</f>
        <v/>
      </c>
      <c r="Z77">
        <f>IF(Policies!I77="",0.02,Policies!I77)</f>
        <v/>
      </c>
      <c r="AA77">
        <f>IFERROR(VLOOKUP(Z77,HurrDedTable,2,FALSE),1)</f>
        <v/>
      </c>
      <c r="AB77">
        <f>IFERROR(INDEX(RateTables!$L$31:$L$33,MATCH(Policies!K77,RateTables!$K$31:$K$33,0)),1)</f>
        <v/>
      </c>
      <c r="AC77">
        <f>ROUND(F77*D77*J77*AA77*AB77,2)</f>
        <v/>
      </c>
      <c r="AD77">
        <f>MIN(AC77,Policies!G77*HurrCapPct)</f>
        <v/>
      </c>
      <c r="AE77">
        <f>Y77+AD77</f>
        <v/>
      </c>
      <c r="AF77" s="1">
        <f>EDATE(Policies!M77,Policies!N77)</f>
        <v/>
      </c>
      <c r="AG77">
        <f>ROUND(YEARFRAC(Policies!M77,AF77,3),4)</f>
        <v/>
      </c>
      <c r="AH77">
        <f>ROUND(AE77*AG77,2)</f>
        <v/>
      </c>
      <c r="AI77">
        <f>MAX(AH77,MinPremium)</f>
        <v/>
      </c>
      <c r="AJ77">
        <f>ROUNDUP(AI77,0)</f>
        <v/>
      </c>
      <c r="AK77">
        <f>VLOOKUP(Policies!N77,FeeTable,2,FALSE)</f>
        <v/>
      </c>
      <c r="AL77">
        <f>ROUND(AJ77*AssessRate,2)</f>
        <v/>
      </c>
      <c r="AM77">
        <f>ROUND((AJ77+AK77)*G77,2)</f>
        <v/>
      </c>
      <c r="AN77">
        <f>AJ77+AK77+AL77+AM77</f>
        <v/>
      </c>
      <c r="AO77">
        <f>IF(OR(Policies!G77&gt;1000000,C77&gt;20,Policies!L77&gt;=3),"REFER","OK")</f>
        <v/>
      </c>
      <c r="AP77">
        <f>ROUND(AH77/D77,3)</f>
        <v/>
      </c>
      <c r="AQ77">
        <f>Policies!B77&amp;"-"&amp;LEFT(Policies!C77,1)&amp;TEXT(Policies!D77,"00")</f>
        <v/>
      </c>
    </row>
    <row r="78">
      <c r="A78">
        <f>Policies!A78</f>
        <v/>
      </c>
      <c r="B78">
        <f>IFERROR(DATEDIF(DATE(Policies!E78,1,1),Policies!M78,"y"),0)</f>
        <v/>
      </c>
      <c r="C78">
        <f>Policies!F78*1</f>
        <v/>
      </c>
      <c r="D78">
        <f>Policies!G78/1000</f>
        <v/>
      </c>
      <c r="E78">
        <f>VLOOKUP(Policies!B78,BaseRates,2,FALSE)</f>
        <v/>
      </c>
      <c r="F78">
        <f>VLOOKUP(Policies!B78,BaseRates,3,FALSE)</f>
        <v/>
      </c>
      <c r="G78">
        <f>VLOOKUP(Policies!B78,BaseRates,4,FALSE)</f>
        <v/>
      </c>
      <c r="H78">
        <f>ROUND(E78*D78,2)</f>
        <v/>
      </c>
      <c r="I78">
        <f>INDEX(RateTables!$B$13:$B$16,MATCH(Policies!C78,RateTables!$A$13:$A$16,0))</f>
        <v/>
      </c>
      <c r="J78">
        <f>INDEX(RateTables!$C$13:$C$16,MATCH(Policies!C78,RateTables!$A$13:$A$16,0))</f>
        <v/>
      </c>
      <c r="K78">
        <f>INDEX(RateTables!$B$19:$C$28,MATCH(Policies!D78,RateTables!$A$19:$A$28,0),IF(Policies!C78="Frame",1,2))</f>
        <v/>
      </c>
      <c r="L78">
        <f>VLOOKUP(B78,AgeBands,2,TRUE)</f>
        <v/>
      </c>
      <c r="M78">
        <f>VLOOKUP(C78,RoofBands,2,TRUE)</f>
        <v/>
      </c>
      <c r="N78">
        <f>VLOOKUP(Policies!G78,AOIBands,2,TRUE)</f>
        <v/>
      </c>
      <c r="O78">
        <f>VLOOKUP(Policies!H78,RateTables!$A$31:$B$35,2,TRUE)</f>
        <v/>
      </c>
      <c r="P78">
        <f>VLOOKUP(MIN(Policies!L78,3),ClaimsTable,2,FALSE)</f>
        <v/>
      </c>
      <c r="Q78">
        <f>ROUND(H78*I78*K78*L78*M78*N78*O78*P78,2)</f>
        <v/>
      </c>
      <c r="R78">
        <f>IF(Policies!J78="Y",1,0)</f>
        <v/>
      </c>
      <c r="S78">
        <f>IF(AND(Policies!L78=0,B78&gt;=3),1,0)</f>
        <v/>
      </c>
      <c r="T78">
        <f>IF(B78&lt;=5,1,0)</f>
        <v/>
      </c>
      <c r="U78">
        <f>IF(Policies!K78="Basic",1,0)</f>
        <v/>
      </c>
      <c r="V78">
        <f>IF(Policies!K78="Fortified",1,0)</f>
        <v/>
      </c>
      <c r="W78">
        <f>SUMPRODUCT(R78:V78,CreditPcts)</f>
        <v/>
      </c>
      <c r="X78">
        <f>MIN(W78,CreditCap)</f>
        <v/>
      </c>
      <c r="Y78">
        <f>ROUND(Q78*(1-X78),2)</f>
        <v/>
      </c>
      <c r="Z78">
        <f>IF(Policies!I78="",0.02,Policies!I78)</f>
        <v/>
      </c>
      <c r="AA78">
        <f>IFERROR(VLOOKUP(Z78,HurrDedTable,2,FALSE),1)</f>
        <v/>
      </c>
      <c r="AB78">
        <f>IFERROR(INDEX(RateTables!$L$31:$L$33,MATCH(Policies!K78,RateTables!$K$31:$K$33,0)),1)</f>
        <v/>
      </c>
      <c r="AC78">
        <f>ROUND(F78*D78*J78*AA78*AB78,2)</f>
        <v/>
      </c>
      <c r="AD78">
        <f>MIN(AC78,Policies!G78*HurrCapPct)</f>
        <v/>
      </c>
      <c r="AE78">
        <f>Y78+AD78</f>
        <v/>
      </c>
      <c r="AF78" s="1">
        <f>EDATE(Policies!M78,Policies!N78)</f>
        <v/>
      </c>
      <c r="AG78">
        <f>ROUND(YEARFRAC(Policies!M78,AF78,3),4)</f>
        <v/>
      </c>
      <c r="AH78">
        <f>ROUND(AE78*AG78,2)</f>
        <v/>
      </c>
      <c r="AI78">
        <f>MAX(AH78,MinPremium)</f>
        <v/>
      </c>
      <c r="AJ78">
        <f>ROUNDUP(AI78,0)</f>
        <v/>
      </c>
      <c r="AK78">
        <f>VLOOKUP(Policies!N78,FeeTable,2,FALSE)</f>
        <v/>
      </c>
      <c r="AL78">
        <f>ROUND(AJ78*AssessRate,2)</f>
        <v/>
      </c>
      <c r="AM78">
        <f>ROUND((AJ78+AK78)*G78,2)</f>
        <v/>
      </c>
      <c r="AN78">
        <f>AJ78+AK78+AL78+AM78</f>
        <v/>
      </c>
      <c r="AO78">
        <f>IF(OR(Policies!G78&gt;1000000,C78&gt;20,Policies!L78&gt;=3),"REFER","OK")</f>
        <v/>
      </c>
      <c r="AP78">
        <f>ROUND(AH78/D78,3)</f>
        <v/>
      </c>
      <c r="AQ78">
        <f>Policies!B78&amp;"-"&amp;LEFT(Policies!C78,1)&amp;TEXT(Policies!D78,"00")</f>
        <v/>
      </c>
    </row>
    <row r="79">
      <c r="A79">
        <f>Policies!A79</f>
        <v/>
      </c>
      <c r="B79">
        <f>IFERROR(DATEDIF(DATE(Policies!E79,1,1),Policies!M79,"y"),0)</f>
        <v/>
      </c>
      <c r="C79">
        <f>Policies!F79*1</f>
        <v/>
      </c>
      <c r="D79">
        <f>Policies!G79/1000</f>
        <v/>
      </c>
      <c r="E79">
        <f>VLOOKUP(Policies!B79,BaseRates,2,FALSE)</f>
        <v/>
      </c>
      <c r="F79">
        <f>VLOOKUP(Policies!B79,BaseRates,3,FALSE)</f>
        <v/>
      </c>
      <c r="G79">
        <f>VLOOKUP(Policies!B79,BaseRates,4,FALSE)</f>
        <v/>
      </c>
      <c r="H79">
        <f>ROUND(E79*D79,2)</f>
        <v/>
      </c>
      <c r="I79">
        <f>INDEX(RateTables!$B$13:$B$16,MATCH(Policies!C79,RateTables!$A$13:$A$16,0))</f>
        <v/>
      </c>
      <c r="J79">
        <f>INDEX(RateTables!$C$13:$C$16,MATCH(Policies!C79,RateTables!$A$13:$A$16,0))</f>
        <v/>
      </c>
      <c r="K79">
        <f>INDEX(RateTables!$B$19:$C$28,MATCH(Policies!D79,RateTables!$A$19:$A$28,0),IF(Policies!C79="Frame",1,2))</f>
        <v/>
      </c>
      <c r="L79">
        <f>VLOOKUP(B79,AgeBands,2,TRUE)</f>
        <v/>
      </c>
      <c r="M79">
        <f>VLOOKUP(C79,RoofBands,2,TRUE)</f>
        <v/>
      </c>
      <c r="N79">
        <f>VLOOKUP(Policies!G79,AOIBands,2,TRUE)</f>
        <v/>
      </c>
      <c r="O79">
        <f>VLOOKUP(Policies!H79,RateTables!$A$31:$B$35,2,TRUE)</f>
        <v/>
      </c>
      <c r="P79">
        <f>VLOOKUP(MIN(Policies!L79,3),ClaimsTable,2,FALSE)</f>
        <v/>
      </c>
      <c r="Q79">
        <f>ROUND(H79*I79*K79*L79*M79*N79*O79*P79,2)</f>
        <v/>
      </c>
      <c r="R79">
        <f>IF(Policies!J79="Y",1,0)</f>
        <v/>
      </c>
      <c r="S79">
        <f>IF(AND(Policies!L79=0,B79&gt;=3),1,0)</f>
        <v/>
      </c>
      <c r="T79">
        <f>IF(B79&lt;=5,1,0)</f>
        <v/>
      </c>
      <c r="U79">
        <f>IF(Policies!K79="Basic",1,0)</f>
        <v/>
      </c>
      <c r="V79">
        <f>IF(Policies!K79="Fortified",1,0)</f>
        <v/>
      </c>
      <c r="W79">
        <f>SUMPRODUCT(R79:V79,CreditPcts)</f>
        <v/>
      </c>
      <c r="X79">
        <f>MIN(W79,CreditCap)</f>
        <v/>
      </c>
      <c r="Y79">
        <f>ROUND(Q79*(1-X79),2)</f>
        <v/>
      </c>
      <c r="Z79">
        <f>IF(Policies!I79="",0.02,Policies!I79)</f>
        <v/>
      </c>
      <c r="AA79">
        <f>IFERROR(VLOOKUP(Z79,HurrDedTable,2,FALSE),1)</f>
        <v/>
      </c>
      <c r="AB79">
        <f>IFERROR(INDEX(RateTables!$L$31:$L$33,MATCH(Policies!K79,RateTables!$K$31:$K$33,0)),1)</f>
        <v/>
      </c>
      <c r="AC79">
        <f>ROUND(F79*D79*J79*AA79*AB79,2)</f>
        <v/>
      </c>
      <c r="AD79">
        <f>MIN(AC79,Policies!G79*HurrCapPct)</f>
        <v/>
      </c>
      <c r="AE79">
        <f>Y79+AD79</f>
        <v/>
      </c>
      <c r="AF79" s="1">
        <f>EDATE(Policies!M79,Policies!N79)</f>
        <v/>
      </c>
      <c r="AG79">
        <f>ROUND(YEARFRAC(Policies!M79,AF79,3),4)</f>
        <v/>
      </c>
      <c r="AH79">
        <f>ROUND(AE79*AG79,2)</f>
        <v/>
      </c>
      <c r="AI79">
        <f>MAX(AH79,MinPremium)</f>
        <v/>
      </c>
      <c r="AJ79">
        <f>ROUNDUP(AI79,0)</f>
        <v/>
      </c>
      <c r="AK79">
        <f>VLOOKUP(Policies!N79,FeeTable,2,FALSE)</f>
        <v/>
      </c>
      <c r="AL79">
        <f>ROUND(AJ79*AssessRate,2)</f>
        <v/>
      </c>
      <c r="AM79">
        <f>ROUND((AJ79+AK79)*G79,2)</f>
        <v/>
      </c>
      <c r="AN79">
        <f>AJ79+AK79+AL79+AM79</f>
        <v/>
      </c>
      <c r="AO79">
        <f>IF(OR(Policies!G79&gt;1000000,C79&gt;20,Policies!L79&gt;=3),"REFER","OK")</f>
        <v/>
      </c>
      <c r="AP79">
        <f>ROUND(AH79/D79,3)</f>
        <v/>
      </c>
      <c r="AQ79">
        <f>Policies!B79&amp;"-"&amp;LEFT(Policies!C79,1)&amp;TEXT(Policies!D79,"00")</f>
        <v/>
      </c>
    </row>
    <row r="80">
      <c r="A80">
        <f>Policies!A80</f>
        <v/>
      </c>
      <c r="B80">
        <f>IFERROR(DATEDIF(DATE(Policies!E80,1,1),Policies!M80,"y"),0)</f>
        <v/>
      </c>
      <c r="C80">
        <f>Policies!F80*1</f>
        <v/>
      </c>
      <c r="D80">
        <f>Policies!G80/1000</f>
        <v/>
      </c>
      <c r="E80">
        <f>VLOOKUP(Policies!B80,BaseRates,2,FALSE)</f>
        <v/>
      </c>
      <c r="F80">
        <f>VLOOKUP(Policies!B80,BaseRates,3,FALSE)</f>
        <v/>
      </c>
      <c r="G80">
        <f>VLOOKUP(Policies!B80,BaseRates,4,FALSE)</f>
        <v/>
      </c>
      <c r="H80">
        <f>ROUND(E80*D80,2)</f>
        <v/>
      </c>
      <c r="I80">
        <f>INDEX(RateTables!$B$13:$B$16,MATCH(Policies!C80,RateTables!$A$13:$A$16,0))</f>
        <v/>
      </c>
      <c r="J80">
        <f>INDEX(RateTables!$C$13:$C$16,MATCH(Policies!C80,RateTables!$A$13:$A$16,0))</f>
        <v/>
      </c>
      <c r="K80">
        <f>INDEX(RateTables!$B$19:$C$28,MATCH(Policies!D80,RateTables!$A$19:$A$28,0),IF(Policies!C80="Frame",1,2))</f>
        <v/>
      </c>
      <c r="L80">
        <f>VLOOKUP(B80,AgeBands,2,TRUE)</f>
        <v/>
      </c>
      <c r="M80">
        <f>VLOOKUP(C80,RoofBands,2,TRUE)</f>
        <v/>
      </c>
      <c r="N80">
        <f>VLOOKUP(Policies!G80,AOIBands,2,TRUE)</f>
        <v/>
      </c>
      <c r="O80">
        <f>VLOOKUP(Policies!H80,RateTables!$A$31:$B$35,2,TRUE)</f>
        <v/>
      </c>
      <c r="P80">
        <f>VLOOKUP(MIN(Policies!L80,3),ClaimsTable,2,FALSE)</f>
        <v/>
      </c>
      <c r="Q80">
        <f>ROUND(H80*I80*K80*L80*M80*N80*O80*P80,2)</f>
        <v/>
      </c>
      <c r="R80">
        <f>IF(Policies!J80="Y",1,0)</f>
        <v/>
      </c>
      <c r="S80">
        <f>IF(AND(Policies!L80=0,B80&gt;=3),1,0)</f>
        <v/>
      </c>
      <c r="T80">
        <f>IF(B80&lt;=5,1,0)</f>
        <v/>
      </c>
      <c r="U80">
        <f>IF(Policies!K80="Basic",1,0)</f>
        <v/>
      </c>
      <c r="V80">
        <f>IF(Policies!K80="Fortified",1,0)</f>
        <v/>
      </c>
      <c r="W80">
        <f>SUMPRODUCT(R80:V80,CreditPcts)</f>
        <v/>
      </c>
      <c r="X80">
        <f>MIN(W80,CreditCap)</f>
        <v/>
      </c>
      <c r="Y80">
        <f>ROUND(Q80*(1-X80),2)</f>
        <v/>
      </c>
      <c r="Z80">
        <f>IF(Policies!I80="",0.02,Policies!I80)</f>
        <v/>
      </c>
      <c r="AA80">
        <f>IFERROR(VLOOKUP(Z80,HurrDedTable,2,FALSE),1)</f>
        <v/>
      </c>
      <c r="AB80">
        <f>IFERROR(INDEX(RateTables!$L$31:$L$33,MATCH(Policies!K80,RateTables!$K$31:$K$33,0)),1)</f>
        <v/>
      </c>
      <c r="AC80">
        <f>ROUND(F80*D80*J80*AA80*AB80,2)</f>
        <v/>
      </c>
      <c r="AD80">
        <f>MIN(AC80,Policies!G80*HurrCapPct)</f>
        <v/>
      </c>
      <c r="AE80">
        <f>Y80+AD80</f>
        <v/>
      </c>
      <c r="AF80" s="1">
        <f>EDATE(Policies!M80,Policies!N80)</f>
        <v/>
      </c>
      <c r="AG80">
        <f>ROUND(YEARFRAC(Policies!M80,AF80,3),4)</f>
        <v/>
      </c>
      <c r="AH80">
        <f>ROUND(AE80*AG80,2)</f>
        <v/>
      </c>
      <c r="AI80">
        <f>MAX(AH80,MinPremium)</f>
        <v/>
      </c>
      <c r="AJ80">
        <f>ROUNDUP(AI80,0)</f>
        <v/>
      </c>
      <c r="AK80">
        <f>VLOOKUP(Policies!N80,FeeTable,2,FALSE)</f>
        <v/>
      </c>
      <c r="AL80">
        <f>ROUND(AJ80*AssessRate,2)</f>
        <v/>
      </c>
      <c r="AM80">
        <f>ROUND((AJ80+AK80)*G80,2)</f>
        <v/>
      </c>
      <c r="AN80">
        <f>AJ80+AK80+AL80+AM80</f>
        <v/>
      </c>
      <c r="AO80">
        <f>IF(OR(Policies!G80&gt;1000000,C80&gt;20,Policies!L80&gt;=3),"REFER","OK")</f>
        <v/>
      </c>
      <c r="AP80">
        <f>ROUND(AH80/D80,3)</f>
        <v/>
      </c>
      <c r="AQ80">
        <f>Policies!B80&amp;"-"&amp;LEFT(Policies!C80,1)&amp;TEXT(Policies!D80,"00")</f>
        <v/>
      </c>
    </row>
    <row r="81">
      <c r="A81">
        <f>Policies!A81</f>
        <v/>
      </c>
      <c r="B81">
        <f>IFERROR(DATEDIF(DATE(Policies!E81,1,1),Policies!M81,"y"),0)</f>
        <v/>
      </c>
      <c r="C81">
        <f>Policies!F81*1</f>
        <v/>
      </c>
      <c r="D81">
        <f>Policies!G81/1000</f>
        <v/>
      </c>
      <c r="E81">
        <f>VLOOKUP(Policies!B81,BaseRates,2,FALSE)</f>
        <v/>
      </c>
      <c r="F81">
        <f>VLOOKUP(Policies!B81,BaseRates,3,FALSE)</f>
        <v/>
      </c>
      <c r="G81">
        <f>VLOOKUP(Policies!B81,BaseRates,4,FALSE)</f>
        <v/>
      </c>
      <c r="H81">
        <f>ROUND(E81*D81,2)</f>
        <v/>
      </c>
      <c r="I81">
        <f>INDEX(RateTables!$B$13:$B$16,MATCH(Policies!C81,RateTables!$A$13:$A$16,0))</f>
        <v/>
      </c>
      <c r="J81">
        <f>INDEX(RateTables!$C$13:$C$16,MATCH(Policies!C81,RateTables!$A$13:$A$16,0))</f>
        <v/>
      </c>
      <c r="K81">
        <f>INDEX(RateTables!$B$19:$C$28,MATCH(Policies!D81,RateTables!$A$19:$A$28,0),IF(Policies!C81="Frame",1,2))</f>
        <v/>
      </c>
      <c r="L81">
        <f>VLOOKUP(B81,AgeBands,2,TRUE)</f>
        <v/>
      </c>
      <c r="M81">
        <f>VLOOKUP(C81,RoofBands,2,TRUE)</f>
        <v/>
      </c>
      <c r="N81">
        <f>VLOOKUP(Policies!G81,AOIBands,2,TRUE)</f>
        <v/>
      </c>
      <c r="O81">
        <f>VLOOKUP(Policies!H81,RateTables!$A$31:$B$35,2,TRUE)</f>
        <v/>
      </c>
      <c r="P81">
        <f>VLOOKUP(MIN(Policies!L81,3),ClaimsTable,2,FALSE)</f>
        <v/>
      </c>
      <c r="Q81">
        <f>ROUND(H81*I81*K81*L81*M81*N81*O81*P81,2)</f>
        <v/>
      </c>
      <c r="R81">
        <f>IF(Policies!J81="Y",1,0)</f>
        <v/>
      </c>
      <c r="S81">
        <f>IF(AND(Policies!L81=0,B81&gt;=3),1,0)</f>
        <v/>
      </c>
      <c r="T81">
        <f>IF(B81&lt;=5,1,0)</f>
        <v/>
      </c>
      <c r="U81">
        <f>IF(Policies!K81="Basic",1,0)</f>
        <v/>
      </c>
      <c r="V81">
        <f>IF(Policies!K81="Fortified",1,0)</f>
        <v/>
      </c>
      <c r="W81">
        <f>SUMPRODUCT(R81:V81,CreditPcts)</f>
        <v/>
      </c>
      <c r="X81">
        <f>MIN(W81,CreditCap)</f>
        <v/>
      </c>
      <c r="Y81">
        <f>ROUND(Q81*(1-X81),2)</f>
        <v/>
      </c>
      <c r="Z81">
        <f>IF(Policies!I81="",0.02,Policies!I81)</f>
        <v/>
      </c>
      <c r="AA81">
        <f>IFERROR(VLOOKUP(Z81,HurrDedTable,2,FALSE),1)</f>
        <v/>
      </c>
      <c r="AB81">
        <f>IFERROR(INDEX(RateTables!$L$31:$L$33,MATCH(Policies!K81,RateTables!$K$31:$K$33,0)),1)</f>
        <v/>
      </c>
      <c r="AC81">
        <f>ROUND(F81*D81*J81*AA81*AB81,2)</f>
        <v/>
      </c>
      <c r="AD81">
        <f>MIN(AC81,Policies!G81*HurrCapPct)</f>
        <v/>
      </c>
      <c r="AE81">
        <f>Y81+AD81</f>
        <v/>
      </c>
      <c r="AF81" s="1">
        <f>EDATE(Policies!M81,Policies!N81)</f>
        <v/>
      </c>
      <c r="AG81">
        <f>ROUND(YEARFRAC(Policies!M81,AF81,3),4)</f>
        <v/>
      </c>
      <c r="AH81">
        <f>ROUND(AE81*AG81,2)</f>
        <v/>
      </c>
      <c r="AI81">
        <f>MAX(AH81,MinPremium)</f>
        <v/>
      </c>
      <c r="AJ81">
        <f>ROUNDUP(AI81,0)</f>
        <v/>
      </c>
      <c r="AK81">
        <f>VLOOKUP(Policies!N81,FeeTable,2,FALSE)</f>
        <v/>
      </c>
      <c r="AL81">
        <f>ROUND(AJ81*AssessRate,2)</f>
        <v/>
      </c>
      <c r="AM81">
        <f>ROUND((AJ81+AK81)*G81,2)</f>
        <v/>
      </c>
      <c r="AN81">
        <f>AJ81+AK81+AL81+AM81</f>
        <v/>
      </c>
      <c r="AO81">
        <f>IF(OR(Policies!G81&gt;1000000,C81&gt;20,Policies!L81&gt;=3),"REFER","OK")</f>
        <v/>
      </c>
      <c r="AP81">
        <f>ROUND(AH81/D81,3)</f>
        <v/>
      </c>
      <c r="AQ81">
        <f>Policies!B81&amp;"-"&amp;LEFT(Policies!C81,1)&amp;TEXT(Policies!D81,"00")</f>
        <v/>
      </c>
    </row>
    <row r="82">
      <c r="A82">
        <f>Policies!A82</f>
        <v/>
      </c>
      <c r="B82">
        <f>IFERROR(DATEDIF(DATE(Policies!E82,1,1),Policies!M82,"y"),0)</f>
        <v/>
      </c>
      <c r="C82">
        <f>Policies!F82*1</f>
        <v/>
      </c>
      <c r="D82">
        <f>Policies!G82/1000</f>
        <v/>
      </c>
      <c r="E82">
        <f>VLOOKUP(Policies!B82,BaseRates,2,FALSE)</f>
        <v/>
      </c>
      <c r="F82">
        <f>VLOOKUP(Policies!B82,BaseRates,3,FALSE)</f>
        <v/>
      </c>
      <c r="G82">
        <f>VLOOKUP(Policies!B82,BaseRates,4,FALSE)</f>
        <v/>
      </c>
      <c r="H82">
        <f>ROUND(E82*D82,2)</f>
        <v/>
      </c>
      <c r="I82">
        <f>INDEX(RateTables!$B$13:$B$16,MATCH(Policies!C82,RateTables!$A$13:$A$16,0))</f>
        <v/>
      </c>
      <c r="J82">
        <f>INDEX(RateTables!$C$13:$C$16,MATCH(Policies!C82,RateTables!$A$13:$A$16,0))</f>
        <v/>
      </c>
      <c r="K82">
        <f>INDEX(RateTables!$B$19:$C$28,MATCH(Policies!D82,RateTables!$A$19:$A$28,0),IF(Policies!C82="Frame",1,2))</f>
        <v/>
      </c>
      <c r="L82">
        <f>VLOOKUP(B82,AgeBands,2,TRUE)</f>
        <v/>
      </c>
      <c r="M82">
        <f>VLOOKUP(C82,RoofBands,2,TRUE)</f>
        <v/>
      </c>
      <c r="N82">
        <f>VLOOKUP(Policies!G82,AOIBands,2,TRUE)</f>
        <v/>
      </c>
      <c r="O82">
        <f>VLOOKUP(Policies!H82,RateTables!$A$31:$B$35,2,TRUE)</f>
        <v/>
      </c>
      <c r="P82">
        <f>VLOOKUP(MIN(Policies!L82,3),ClaimsTable,2,FALSE)</f>
        <v/>
      </c>
      <c r="Q82">
        <f>ROUND(H82*I82*K82*L82*M82*N82*O82*P82,2)</f>
        <v/>
      </c>
      <c r="R82">
        <f>IF(Policies!J82="Y",1,0)</f>
        <v/>
      </c>
      <c r="S82">
        <f>IF(AND(Policies!L82=0,B82&gt;=3),1,0)</f>
        <v/>
      </c>
      <c r="T82">
        <f>IF(B82&lt;=5,1,0)</f>
        <v/>
      </c>
      <c r="U82">
        <f>IF(Policies!K82="Basic",1,0)</f>
        <v/>
      </c>
      <c r="V82">
        <f>IF(Policies!K82="Fortified",1,0)</f>
        <v/>
      </c>
      <c r="W82">
        <f>SUMPRODUCT(R82:V82,CreditPcts)</f>
        <v/>
      </c>
      <c r="X82">
        <f>MIN(W82,CreditCap)</f>
        <v/>
      </c>
      <c r="Y82">
        <f>ROUND(Q82*(1-X82),2)</f>
        <v/>
      </c>
      <c r="Z82">
        <f>IF(Policies!I82="",0.02,Policies!I82)</f>
        <v/>
      </c>
      <c r="AA82">
        <f>IFERROR(VLOOKUP(Z82,HurrDedTable,2,FALSE),1)</f>
        <v/>
      </c>
      <c r="AB82">
        <f>IFERROR(INDEX(RateTables!$L$31:$L$33,MATCH(Policies!K82,RateTables!$K$31:$K$33,0)),1)</f>
        <v/>
      </c>
      <c r="AC82">
        <f>ROUND(F82*D82*J82*AA82*AB82,2)</f>
        <v/>
      </c>
      <c r="AD82">
        <f>MIN(AC82,Policies!G82*HurrCapPct)</f>
        <v/>
      </c>
      <c r="AE82">
        <f>Y82+AD82</f>
        <v/>
      </c>
      <c r="AF82" s="1">
        <f>EDATE(Policies!M82,Policies!N82)</f>
        <v/>
      </c>
      <c r="AG82">
        <f>ROUND(YEARFRAC(Policies!M82,AF82,3),4)</f>
        <v/>
      </c>
      <c r="AH82">
        <f>ROUND(AE82*AG82,2)</f>
        <v/>
      </c>
      <c r="AI82">
        <f>MAX(AH82,MinPremium)</f>
        <v/>
      </c>
      <c r="AJ82">
        <f>ROUNDUP(AI82,0)</f>
        <v/>
      </c>
      <c r="AK82">
        <f>VLOOKUP(Policies!N82,FeeTable,2,FALSE)</f>
        <v/>
      </c>
      <c r="AL82">
        <f>ROUND(AJ82*AssessRate,2)</f>
        <v/>
      </c>
      <c r="AM82">
        <f>ROUND((AJ82+AK82)*G82,2)</f>
        <v/>
      </c>
      <c r="AN82">
        <f>AJ82+AK82+AL82+AM82</f>
        <v/>
      </c>
      <c r="AO82">
        <f>IF(OR(Policies!G82&gt;1000000,C82&gt;20,Policies!L82&gt;=3),"REFER","OK")</f>
        <v/>
      </c>
      <c r="AP82">
        <f>ROUND(AH82/D82,3)</f>
        <v/>
      </c>
      <c r="AQ82">
        <f>Policies!B82&amp;"-"&amp;LEFT(Policies!C82,1)&amp;TEXT(Policies!D82,"00")</f>
        <v/>
      </c>
    </row>
    <row r="83">
      <c r="A83">
        <f>Policies!A83</f>
        <v/>
      </c>
      <c r="B83">
        <f>IFERROR(DATEDIF(DATE(Policies!E83,1,1),Policies!M83,"y"),0)</f>
        <v/>
      </c>
      <c r="C83">
        <f>Policies!F83*1</f>
        <v/>
      </c>
      <c r="D83">
        <f>Policies!G83/1000</f>
        <v/>
      </c>
      <c r="E83">
        <f>VLOOKUP(Policies!B83,BaseRates,2,FALSE)</f>
        <v/>
      </c>
      <c r="F83">
        <f>VLOOKUP(Policies!B83,BaseRates,3,FALSE)</f>
        <v/>
      </c>
      <c r="G83">
        <f>VLOOKUP(Policies!B83,BaseRates,4,FALSE)</f>
        <v/>
      </c>
      <c r="H83">
        <f>ROUND(E83*D83,2)</f>
        <v/>
      </c>
      <c r="I83">
        <f>INDEX(RateTables!$B$13:$B$16,MATCH(Policies!C83,RateTables!$A$13:$A$16,0))</f>
        <v/>
      </c>
      <c r="J83">
        <f>INDEX(RateTables!$C$13:$C$16,MATCH(Policies!C83,RateTables!$A$13:$A$16,0))</f>
        <v/>
      </c>
      <c r="K83">
        <f>INDEX(RateTables!$B$19:$C$28,MATCH(Policies!D83,RateTables!$A$19:$A$28,0),IF(Policies!C83="Frame",1,2))</f>
        <v/>
      </c>
      <c r="L83">
        <f>VLOOKUP(B83,AgeBands,2,TRUE)</f>
        <v/>
      </c>
      <c r="M83">
        <f>VLOOKUP(C83,RoofBands,2,TRUE)</f>
        <v/>
      </c>
      <c r="N83">
        <f>VLOOKUP(Policies!G83,AOIBands,2,TRUE)</f>
        <v/>
      </c>
      <c r="O83">
        <f>VLOOKUP(Policies!H83,RateTables!$A$31:$B$35,2,TRUE)</f>
        <v/>
      </c>
      <c r="P83">
        <f>VLOOKUP(MIN(Policies!L83,3),ClaimsTable,2,FALSE)</f>
        <v/>
      </c>
      <c r="Q83">
        <f>ROUND(H83*I83*K83*L83*M83*N83*O83*P83,2)</f>
        <v/>
      </c>
      <c r="R83">
        <f>IF(Policies!J83="Y",1,0)</f>
        <v/>
      </c>
      <c r="S83">
        <f>IF(AND(Policies!L83=0,B83&gt;=3),1,0)</f>
        <v/>
      </c>
      <c r="T83">
        <f>IF(B83&lt;=5,1,0)</f>
        <v/>
      </c>
      <c r="U83">
        <f>IF(Policies!K83="Basic",1,0)</f>
        <v/>
      </c>
      <c r="V83">
        <f>IF(Policies!K83="Fortified",1,0)</f>
        <v/>
      </c>
      <c r="W83">
        <f>SUMPRODUCT(R83:V83,CreditPcts)</f>
        <v/>
      </c>
      <c r="X83">
        <f>MIN(W83,CreditCap)</f>
        <v/>
      </c>
      <c r="Y83">
        <f>ROUND(Q83*(1-X83),2)</f>
        <v/>
      </c>
      <c r="Z83">
        <f>IF(Policies!I83="",0.02,Policies!I83)</f>
        <v/>
      </c>
      <c r="AA83">
        <f>IFERROR(VLOOKUP(Z83,HurrDedTable,2,FALSE),1)</f>
        <v/>
      </c>
      <c r="AB83">
        <f>IFERROR(INDEX(RateTables!$L$31:$L$33,MATCH(Policies!K83,RateTables!$K$31:$K$33,0)),1)</f>
        <v/>
      </c>
      <c r="AC83">
        <f>ROUND(F83*D83*J83*AA83*AB83,2)</f>
        <v/>
      </c>
      <c r="AD83">
        <f>MIN(AC83,Policies!G83*HurrCapPct)</f>
        <v/>
      </c>
      <c r="AE83">
        <f>Y83+AD83</f>
        <v/>
      </c>
      <c r="AF83" s="1">
        <f>EDATE(Policies!M83,Policies!N83)</f>
        <v/>
      </c>
      <c r="AG83">
        <f>ROUND(YEARFRAC(Policies!M83,AF83,3),4)</f>
        <v/>
      </c>
      <c r="AH83">
        <f>ROUND(AE83*AG83,2)</f>
        <v/>
      </c>
      <c r="AI83">
        <f>MAX(AH83,MinPremium)</f>
        <v/>
      </c>
      <c r="AJ83">
        <f>ROUNDUP(AI83,0)</f>
        <v/>
      </c>
      <c r="AK83">
        <f>VLOOKUP(Policies!N83,FeeTable,2,FALSE)</f>
        <v/>
      </c>
      <c r="AL83">
        <f>ROUND(AJ83*AssessRate,2)</f>
        <v/>
      </c>
      <c r="AM83">
        <f>ROUND((AJ83+AK83)*G83,2)</f>
        <v/>
      </c>
      <c r="AN83">
        <f>AJ83+AK83+AL83+AM83</f>
        <v/>
      </c>
      <c r="AO83">
        <f>IF(OR(Policies!G83&gt;1000000,C83&gt;20,Policies!L83&gt;=3),"REFER","OK")</f>
        <v/>
      </c>
      <c r="AP83">
        <f>ROUND(AH83/D83,3)</f>
        <v/>
      </c>
      <c r="AQ83">
        <f>Policies!B83&amp;"-"&amp;LEFT(Policies!C83,1)&amp;TEXT(Policies!D83,"00")</f>
        <v/>
      </c>
    </row>
    <row r="84">
      <c r="A84">
        <f>Policies!A84</f>
        <v/>
      </c>
      <c r="B84">
        <f>IFERROR(DATEDIF(DATE(Policies!E84,1,1),Policies!M84,"y"),0)</f>
        <v/>
      </c>
      <c r="C84">
        <f>Policies!F84*1</f>
        <v/>
      </c>
      <c r="D84">
        <f>Policies!G84/1000</f>
        <v/>
      </c>
      <c r="E84">
        <f>VLOOKUP(Policies!B84,BaseRates,2,FALSE)</f>
        <v/>
      </c>
      <c r="F84">
        <f>VLOOKUP(Policies!B84,BaseRates,3,FALSE)</f>
        <v/>
      </c>
      <c r="G84">
        <f>VLOOKUP(Policies!B84,BaseRates,4,FALSE)</f>
        <v/>
      </c>
      <c r="H84">
        <f>ROUND(E84*D84,2)</f>
        <v/>
      </c>
      <c r="I84">
        <f>INDEX(RateTables!$B$13:$B$16,MATCH(Policies!C84,RateTables!$A$13:$A$16,0))</f>
        <v/>
      </c>
      <c r="J84">
        <f>INDEX(RateTables!$C$13:$C$16,MATCH(Policies!C84,RateTables!$A$13:$A$16,0))</f>
        <v/>
      </c>
      <c r="K84">
        <f>INDEX(RateTables!$B$19:$C$28,MATCH(Policies!D84,RateTables!$A$19:$A$28,0),IF(Policies!C84="Frame",1,2))</f>
        <v/>
      </c>
      <c r="L84">
        <f>VLOOKUP(B84,AgeBands,2,TRUE)</f>
        <v/>
      </c>
      <c r="M84">
        <f>VLOOKUP(C84,RoofBands,2,TRUE)</f>
        <v/>
      </c>
      <c r="N84">
        <f>VLOOKUP(Policies!G84,AOIBands,2,TRUE)</f>
        <v/>
      </c>
      <c r="O84">
        <f>VLOOKUP(Policies!H84,RateTables!$A$31:$B$35,2,TRUE)</f>
        <v/>
      </c>
      <c r="P84">
        <f>VLOOKUP(MIN(Policies!L84,3),ClaimsTable,2,FALSE)</f>
        <v/>
      </c>
      <c r="Q84">
        <f>ROUND(H84*I84*K84*L84*M84*N84*O84*P84,2)</f>
        <v/>
      </c>
      <c r="R84">
        <f>IF(Policies!J84="Y",1,0)</f>
        <v/>
      </c>
      <c r="S84">
        <f>IF(AND(Policies!L84=0,B84&gt;=3),1,0)</f>
        <v/>
      </c>
      <c r="T84">
        <f>IF(B84&lt;=5,1,0)</f>
        <v/>
      </c>
      <c r="U84">
        <f>IF(Policies!K84="Basic",1,0)</f>
        <v/>
      </c>
      <c r="V84">
        <f>IF(Policies!K84="Fortified",1,0)</f>
        <v/>
      </c>
      <c r="W84">
        <f>SUMPRODUCT(R84:V84,CreditPcts)</f>
        <v/>
      </c>
      <c r="X84">
        <f>MIN(W84,CreditCap)</f>
        <v/>
      </c>
      <c r="Y84">
        <f>ROUND(Q84*(1-X84),2)</f>
        <v/>
      </c>
      <c r="Z84">
        <f>IF(Policies!I84="",0.02,Policies!I84)</f>
        <v/>
      </c>
      <c r="AA84">
        <f>IFERROR(VLOOKUP(Z84,HurrDedTable,2,FALSE),1)</f>
        <v/>
      </c>
      <c r="AB84">
        <f>IFERROR(INDEX(RateTables!$L$31:$L$33,MATCH(Policies!K84,RateTables!$K$31:$K$33,0)),1)</f>
        <v/>
      </c>
      <c r="AC84">
        <f>ROUND(F84*D84*J84*AA84*AB84,2)</f>
        <v/>
      </c>
      <c r="AD84">
        <f>MIN(AC84,Policies!G84*HurrCapPct)</f>
        <v/>
      </c>
      <c r="AE84">
        <f>Y84+AD84</f>
        <v/>
      </c>
      <c r="AF84" s="1">
        <f>EDATE(Policies!M84,Policies!N84)</f>
        <v/>
      </c>
      <c r="AG84">
        <f>ROUND(YEARFRAC(Policies!M84,AF84,3),4)</f>
        <v/>
      </c>
      <c r="AH84">
        <f>ROUND(AE84*AG84,2)</f>
        <v/>
      </c>
      <c r="AI84">
        <f>MAX(AH84,MinPremium)</f>
        <v/>
      </c>
      <c r="AJ84">
        <f>ROUNDUP(AI84,0)</f>
        <v/>
      </c>
      <c r="AK84">
        <f>VLOOKUP(Policies!N84,FeeTable,2,FALSE)</f>
        <v/>
      </c>
      <c r="AL84">
        <f>ROUND(AJ84*AssessRate,2)</f>
        <v/>
      </c>
      <c r="AM84">
        <f>ROUND((AJ84+AK84)*G84,2)</f>
        <v/>
      </c>
      <c r="AN84">
        <f>AJ84+AK84+AL84+AM84</f>
        <v/>
      </c>
      <c r="AO84">
        <f>IF(OR(Policies!G84&gt;1000000,C84&gt;20,Policies!L84&gt;=3),"REFER","OK")</f>
        <v/>
      </c>
      <c r="AP84">
        <f>ROUND(AH84/D84,3)</f>
        <v/>
      </c>
      <c r="AQ84">
        <f>Policies!B84&amp;"-"&amp;LEFT(Policies!C84,1)&amp;TEXT(Policies!D84,"00")</f>
        <v/>
      </c>
    </row>
    <row r="85">
      <c r="A85">
        <f>Policies!A85</f>
        <v/>
      </c>
      <c r="B85">
        <f>IFERROR(DATEDIF(DATE(Policies!E85,1,1),Policies!M85,"y"),0)</f>
        <v/>
      </c>
      <c r="C85">
        <f>Policies!F85*1</f>
        <v/>
      </c>
      <c r="D85">
        <f>Policies!G85/1000</f>
        <v/>
      </c>
      <c r="E85">
        <f>VLOOKUP(Policies!B85,BaseRates,2,FALSE)</f>
        <v/>
      </c>
      <c r="F85">
        <f>VLOOKUP(Policies!B85,BaseRates,3,FALSE)</f>
        <v/>
      </c>
      <c r="G85">
        <f>VLOOKUP(Policies!B85,BaseRates,4,FALSE)</f>
        <v/>
      </c>
      <c r="H85">
        <f>ROUND(E85*D85,2)</f>
        <v/>
      </c>
      <c r="I85">
        <f>INDEX(RateTables!$B$13:$B$16,MATCH(Policies!C85,RateTables!$A$13:$A$16,0))</f>
        <v/>
      </c>
      <c r="J85">
        <f>INDEX(RateTables!$C$13:$C$16,MATCH(Policies!C85,RateTables!$A$13:$A$16,0))</f>
        <v/>
      </c>
      <c r="K85">
        <f>INDEX(RateTables!$B$19:$C$28,MATCH(Policies!D85,RateTables!$A$19:$A$28,0),IF(Policies!C85="Frame",1,2))</f>
        <v/>
      </c>
      <c r="L85">
        <f>VLOOKUP(B85,AgeBands,2,TRUE)</f>
        <v/>
      </c>
      <c r="M85">
        <f>VLOOKUP(C85,RoofBands,2,TRUE)</f>
        <v/>
      </c>
      <c r="N85">
        <f>VLOOKUP(Policies!G85,AOIBands,2,TRUE)</f>
        <v/>
      </c>
      <c r="O85">
        <f>VLOOKUP(Policies!H85,RateTables!$A$31:$B$35,2,TRUE)</f>
        <v/>
      </c>
      <c r="P85">
        <f>VLOOKUP(MIN(Policies!L85,3),ClaimsTable,2,FALSE)</f>
        <v/>
      </c>
      <c r="Q85">
        <f>ROUND(H85*I85*K85*L85*M85*N85*O85*P85,2)</f>
        <v/>
      </c>
      <c r="R85">
        <f>IF(Policies!J85="Y",1,0)</f>
        <v/>
      </c>
      <c r="S85">
        <f>IF(AND(Policies!L85=0,B85&gt;=3),1,0)</f>
        <v/>
      </c>
      <c r="T85">
        <f>IF(B85&lt;=5,1,0)</f>
        <v/>
      </c>
      <c r="U85">
        <f>IF(Policies!K85="Basic",1,0)</f>
        <v/>
      </c>
      <c r="V85">
        <f>IF(Policies!K85="Fortified",1,0)</f>
        <v/>
      </c>
      <c r="W85">
        <f>SUMPRODUCT(R85:V85,CreditPcts)</f>
        <v/>
      </c>
      <c r="X85">
        <f>MIN(W85,CreditCap)</f>
        <v/>
      </c>
      <c r="Y85">
        <f>ROUND(Q85*(1-X85),2)</f>
        <v/>
      </c>
      <c r="Z85">
        <f>IF(Policies!I85="",0.02,Policies!I85)</f>
        <v/>
      </c>
      <c r="AA85">
        <f>IFERROR(VLOOKUP(Z85,HurrDedTable,2,FALSE),1)</f>
        <v/>
      </c>
      <c r="AB85">
        <f>IFERROR(INDEX(RateTables!$L$31:$L$33,MATCH(Policies!K85,RateTables!$K$31:$K$33,0)),1)</f>
        <v/>
      </c>
      <c r="AC85">
        <f>ROUND(F85*D85*J85*AA85*AB85,2)</f>
        <v/>
      </c>
      <c r="AD85">
        <f>MIN(AC85,Policies!G85*HurrCapPct)</f>
        <v/>
      </c>
      <c r="AE85">
        <f>Y85+AD85</f>
        <v/>
      </c>
      <c r="AF85" s="1">
        <f>EDATE(Policies!M85,Policies!N85)</f>
        <v/>
      </c>
      <c r="AG85">
        <f>ROUND(YEARFRAC(Policies!M85,AF85,3),4)</f>
        <v/>
      </c>
      <c r="AH85">
        <f>ROUND(AE85*AG85,2)</f>
        <v/>
      </c>
      <c r="AI85">
        <f>MAX(AH85,MinPremium)</f>
        <v/>
      </c>
      <c r="AJ85">
        <f>ROUNDUP(AI85,0)</f>
        <v/>
      </c>
      <c r="AK85">
        <f>VLOOKUP(Policies!N85,FeeTable,2,FALSE)</f>
        <v/>
      </c>
      <c r="AL85">
        <f>ROUND(AJ85*AssessRate,2)</f>
        <v/>
      </c>
      <c r="AM85">
        <f>ROUND((AJ85+AK85)*G85,2)</f>
        <v/>
      </c>
      <c r="AN85">
        <f>AJ85+AK85+AL85+AM85</f>
        <v/>
      </c>
      <c r="AO85">
        <f>IF(OR(Policies!G85&gt;1000000,C85&gt;20,Policies!L85&gt;=3),"REFER","OK")</f>
        <v/>
      </c>
      <c r="AP85">
        <f>ROUND(AH85/D85,3)</f>
        <v/>
      </c>
      <c r="AQ85">
        <f>Policies!B85&amp;"-"&amp;LEFT(Policies!C85,1)&amp;TEXT(Policies!D85,"00")</f>
        <v/>
      </c>
    </row>
    <row r="86">
      <c r="A86">
        <f>Policies!A86</f>
        <v/>
      </c>
      <c r="B86">
        <f>IFERROR(DATEDIF(DATE(Policies!E86,1,1),Policies!M86,"y"),0)</f>
        <v/>
      </c>
      <c r="C86">
        <f>Policies!F86*1</f>
        <v/>
      </c>
      <c r="D86">
        <f>Policies!G86/1000</f>
        <v/>
      </c>
      <c r="E86">
        <f>VLOOKUP(Policies!B86,BaseRates,2,FALSE)</f>
        <v/>
      </c>
      <c r="F86">
        <f>VLOOKUP(Policies!B86,BaseRates,3,FALSE)</f>
        <v/>
      </c>
      <c r="G86">
        <f>VLOOKUP(Policies!B86,BaseRates,4,FALSE)</f>
        <v/>
      </c>
      <c r="H86">
        <f>ROUND(E86*D86,2)</f>
        <v/>
      </c>
      <c r="I86">
        <f>INDEX(RateTables!$B$13:$B$16,MATCH(Policies!C86,RateTables!$A$13:$A$16,0))</f>
        <v/>
      </c>
      <c r="J86">
        <f>INDEX(RateTables!$C$13:$C$16,MATCH(Policies!C86,RateTables!$A$13:$A$16,0))</f>
        <v/>
      </c>
      <c r="K86">
        <f>INDEX(RateTables!$B$19:$C$28,MATCH(Policies!D86,RateTables!$A$19:$A$28,0),IF(Policies!C86="Frame",1,2))</f>
        <v/>
      </c>
      <c r="L86">
        <f>VLOOKUP(B86,AgeBands,2,TRUE)</f>
        <v/>
      </c>
      <c r="M86">
        <f>VLOOKUP(C86,RoofBands,2,TRUE)</f>
        <v/>
      </c>
      <c r="N86">
        <f>VLOOKUP(Policies!G86,AOIBands,2,TRUE)</f>
        <v/>
      </c>
      <c r="O86">
        <f>VLOOKUP(Policies!H86,RateTables!$A$31:$B$35,2,TRUE)</f>
        <v/>
      </c>
      <c r="P86">
        <f>VLOOKUP(MIN(Policies!L86,3),ClaimsTable,2,FALSE)</f>
        <v/>
      </c>
      <c r="Q86">
        <f>ROUND(H86*I86*K86*L86*M86*N86*O86*P86,2)</f>
        <v/>
      </c>
      <c r="R86">
        <f>IF(Policies!J86="Y",1,0)</f>
        <v/>
      </c>
      <c r="S86">
        <f>IF(AND(Policies!L86=0,B86&gt;=3),1,0)</f>
        <v/>
      </c>
      <c r="T86">
        <f>IF(B86&lt;=5,1,0)</f>
        <v/>
      </c>
      <c r="U86">
        <f>IF(Policies!K86="Basic",1,0)</f>
        <v/>
      </c>
      <c r="V86">
        <f>IF(Policies!K86="Fortified",1,0)</f>
        <v/>
      </c>
      <c r="W86">
        <f>SUMPRODUCT(R86:V86,CreditPcts)</f>
        <v/>
      </c>
      <c r="X86">
        <f>MIN(W86,CreditCap)</f>
        <v/>
      </c>
      <c r="Y86">
        <f>ROUND(Q86*(1-X86),2)</f>
        <v/>
      </c>
      <c r="Z86">
        <f>IF(Policies!I86="",0.02,Policies!I86)</f>
        <v/>
      </c>
      <c r="AA86">
        <f>IFERROR(VLOOKUP(Z86,HurrDedTable,2,FALSE),1)</f>
        <v/>
      </c>
      <c r="AB86">
        <f>IFERROR(INDEX(RateTables!$L$31:$L$33,MATCH(Policies!K86,RateTables!$K$31:$K$33,0)),1)</f>
        <v/>
      </c>
      <c r="AC86">
        <f>ROUND(F86*D86*J86*AA86*AB86,2)</f>
        <v/>
      </c>
      <c r="AD86">
        <f>MIN(AC86,Policies!G86*HurrCapPct)</f>
        <v/>
      </c>
      <c r="AE86">
        <f>Y86+AD86</f>
        <v/>
      </c>
      <c r="AF86" s="1">
        <f>EDATE(Policies!M86,Policies!N86)</f>
        <v/>
      </c>
      <c r="AG86">
        <f>ROUND(YEARFRAC(Policies!M86,AF86,3),4)</f>
        <v/>
      </c>
      <c r="AH86">
        <f>ROUND(AE86*AG86,2)</f>
        <v/>
      </c>
      <c r="AI86">
        <f>MAX(AH86,MinPremium)</f>
        <v/>
      </c>
      <c r="AJ86">
        <f>ROUNDUP(AI86,0)</f>
        <v/>
      </c>
      <c r="AK86">
        <f>VLOOKUP(Policies!N86,FeeTable,2,FALSE)</f>
        <v/>
      </c>
      <c r="AL86">
        <f>ROUND(AJ86*AssessRate,2)</f>
        <v/>
      </c>
      <c r="AM86">
        <f>ROUND((AJ86+AK86)*G86,2)</f>
        <v/>
      </c>
      <c r="AN86">
        <f>AJ86+AK86+AL86+AM86</f>
        <v/>
      </c>
      <c r="AO86">
        <f>IF(OR(Policies!G86&gt;1000000,C86&gt;20,Policies!L86&gt;=3),"REFER","OK")</f>
        <v/>
      </c>
      <c r="AP86">
        <f>ROUND(AH86/D86,3)</f>
        <v/>
      </c>
      <c r="AQ86">
        <f>Policies!B86&amp;"-"&amp;LEFT(Policies!C86,1)&amp;TEXT(Policies!D86,"00")</f>
        <v/>
      </c>
    </row>
    <row r="87">
      <c r="A87">
        <f>Policies!A87</f>
        <v/>
      </c>
      <c r="B87">
        <f>IFERROR(DATEDIF(DATE(Policies!E87,1,1),Policies!M87,"y"),0)</f>
        <v/>
      </c>
      <c r="C87">
        <f>Policies!F87*1</f>
        <v/>
      </c>
      <c r="D87">
        <f>Policies!G87/1000</f>
        <v/>
      </c>
      <c r="E87">
        <f>VLOOKUP(Policies!B87,BaseRates,2,FALSE)</f>
        <v/>
      </c>
      <c r="F87">
        <f>VLOOKUP(Policies!B87,BaseRates,3,FALSE)</f>
        <v/>
      </c>
      <c r="G87">
        <f>VLOOKUP(Policies!B87,BaseRates,4,FALSE)</f>
        <v/>
      </c>
      <c r="H87">
        <f>ROUND(E87*D87,2)</f>
        <v/>
      </c>
      <c r="I87">
        <f>INDEX(RateTables!$B$13:$B$16,MATCH(Policies!C87,RateTables!$A$13:$A$16,0))</f>
        <v/>
      </c>
      <c r="J87">
        <f>INDEX(RateTables!$C$13:$C$16,MATCH(Policies!C87,RateTables!$A$13:$A$16,0))</f>
        <v/>
      </c>
      <c r="K87">
        <f>INDEX(RateTables!$B$19:$C$28,MATCH(Policies!D87,RateTables!$A$19:$A$28,0),IF(Policies!C87="Frame",1,2))</f>
        <v/>
      </c>
      <c r="L87">
        <f>VLOOKUP(B87,AgeBands,2,TRUE)</f>
        <v/>
      </c>
      <c r="M87">
        <f>VLOOKUP(C87,RoofBands,2,TRUE)</f>
        <v/>
      </c>
      <c r="N87">
        <f>VLOOKUP(Policies!G87,AOIBands,2,TRUE)</f>
        <v/>
      </c>
      <c r="O87">
        <f>VLOOKUP(Policies!H87,RateTables!$A$31:$B$35,2,TRUE)</f>
        <v/>
      </c>
      <c r="P87">
        <f>VLOOKUP(MIN(Policies!L87,3),ClaimsTable,2,FALSE)</f>
        <v/>
      </c>
      <c r="Q87">
        <f>ROUND(H87*I87*K87*L87*M87*N87*O87*P87,2)</f>
        <v/>
      </c>
      <c r="R87">
        <f>IF(Policies!J87="Y",1,0)</f>
        <v/>
      </c>
      <c r="S87">
        <f>IF(AND(Policies!L87=0,B87&gt;=3),1,0)</f>
        <v/>
      </c>
      <c r="T87">
        <f>IF(B87&lt;=5,1,0)</f>
        <v/>
      </c>
      <c r="U87">
        <f>IF(Policies!K87="Basic",1,0)</f>
        <v/>
      </c>
      <c r="V87">
        <f>IF(Policies!K87="Fortified",1,0)</f>
        <v/>
      </c>
      <c r="W87">
        <f>SUMPRODUCT(R87:V87,CreditPcts)</f>
        <v/>
      </c>
      <c r="X87">
        <f>MIN(W87,CreditCap)</f>
        <v/>
      </c>
      <c r="Y87">
        <f>ROUND(Q87*(1-X87),2)</f>
        <v/>
      </c>
      <c r="Z87">
        <f>IF(Policies!I87="",0.02,Policies!I87)</f>
        <v/>
      </c>
      <c r="AA87">
        <f>IFERROR(VLOOKUP(Z87,HurrDedTable,2,FALSE),1)</f>
        <v/>
      </c>
      <c r="AB87">
        <f>IFERROR(INDEX(RateTables!$L$31:$L$33,MATCH(Policies!K87,RateTables!$K$31:$K$33,0)),1)</f>
        <v/>
      </c>
      <c r="AC87">
        <f>ROUND(F87*D87*J87*AA87*AB87,2)</f>
        <v/>
      </c>
      <c r="AD87">
        <f>MIN(AC87,Policies!G87*HurrCapPct)</f>
        <v/>
      </c>
      <c r="AE87">
        <f>Y87+AD87</f>
        <v/>
      </c>
      <c r="AF87" s="1">
        <f>EDATE(Policies!M87,Policies!N87)</f>
        <v/>
      </c>
      <c r="AG87">
        <f>ROUND(YEARFRAC(Policies!M87,AF87,3),4)</f>
        <v/>
      </c>
      <c r="AH87">
        <f>ROUND(AE87*AG87,2)</f>
        <v/>
      </c>
      <c r="AI87">
        <f>MAX(AH87,MinPremium)</f>
        <v/>
      </c>
      <c r="AJ87">
        <f>ROUNDUP(AI87,0)</f>
        <v/>
      </c>
      <c r="AK87">
        <f>VLOOKUP(Policies!N87,FeeTable,2,FALSE)</f>
        <v/>
      </c>
      <c r="AL87">
        <f>ROUND(AJ87*AssessRate,2)</f>
        <v/>
      </c>
      <c r="AM87">
        <f>ROUND((AJ87+AK87)*G87,2)</f>
        <v/>
      </c>
      <c r="AN87">
        <f>AJ87+AK87+AL87+AM87</f>
        <v/>
      </c>
      <c r="AO87">
        <f>IF(OR(Policies!G87&gt;1000000,C87&gt;20,Policies!L87&gt;=3),"REFER","OK")</f>
        <v/>
      </c>
      <c r="AP87">
        <f>ROUND(AH87/D87,3)</f>
        <v/>
      </c>
      <c r="AQ87">
        <f>Policies!B87&amp;"-"&amp;LEFT(Policies!C87,1)&amp;TEXT(Policies!D87,"00")</f>
        <v/>
      </c>
    </row>
    <row r="88">
      <c r="A88">
        <f>Policies!A88</f>
        <v/>
      </c>
      <c r="B88">
        <f>IFERROR(DATEDIF(DATE(Policies!E88,1,1),Policies!M88,"y"),0)</f>
        <v/>
      </c>
      <c r="C88">
        <f>Policies!F88*1</f>
        <v/>
      </c>
      <c r="D88">
        <f>Policies!G88/1000</f>
        <v/>
      </c>
      <c r="E88">
        <f>VLOOKUP(Policies!B88,BaseRates,2,FALSE)</f>
        <v/>
      </c>
      <c r="F88">
        <f>VLOOKUP(Policies!B88,BaseRates,3,FALSE)</f>
        <v/>
      </c>
      <c r="G88">
        <f>VLOOKUP(Policies!B88,BaseRates,4,FALSE)</f>
        <v/>
      </c>
      <c r="H88">
        <f>ROUND(E88*D88,2)</f>
        <v/>
      </c>
      <c r="I88">
        <f>INDEX(RateTables!$B$13:$B$16,MATCH(Policies!C88,RateTables!$A$13:$A$16,0))</f>
        <v/>
      </c>
      <c r="J88">
        <f>INDEX(RateTables!$C$13:$C$16,MATCH(Policies!C88,RateTables!$A$13:$A$16,0))</f>
        <v/>
      </c>
      <c r="K88">
        <f>INDEX(RateTables!$B$19:$C$28,MATCH(Policies!D88,RateTables!$A$19:$A$28,0),IF(Policies!C88="Frame",1,2))</f>
        <v/>
      </c>
      <c r="L88">
        <f>VLOOKUP(B88,AgeBands,2,TRUE)</f>
        <v/>
      </c>
      <c r="M88">
        <f>VLOOKUP(C88,RoofBands,2,TRUE)</f>
        <v/>
      </c>
      <c r="N88">
        <f>VLOOKUP(Policies!G88,AOIBands,2,TRUE)</f>
        <v/>
      </c>
      <c r="O88">
        <f>VLOOKUP(Policies!H88,RateTables!$A$31:$B$35,2,TRUE)</f>
        <v/>
      </c>
      <c r="P88">
        <f>VLOOKUP(MIN(Policies!L88,3),ClaimsTable,2,FALSE)</f>
        <v/>
      </c>
      <c r="Q88">
        <f>ROUND(H88*I88*K88*L88*M88*N88*O88*P88,2)</f>
        <v/>
      </c>
      <c r="R88">
        <f>IF(Policies!J88="Y",1,0)</f>
        <v/>
      </c>
      <c r="S88">
        <f>IF(AND(Policies!L88=0,B88&gt;=3),1,0)</f>
        <v/>
      </c>
      <c r="T88">
        <f>IF(B88&lt;=5,1,0)</f>
        <v/>
      </c>
      <c r="U88">
        <f>IF(Policies!K88="Basic",1,0)</f>
        <v/>
      </c>
      <c r="V88">
        <f>IF(Policies!K88="Fortified",1,0)</f>
        <v/>
      </c>
      <c r="W88">
        <f>SUMPRODUCT(R88:V88,CreditPcts)</f>
        <v/>
      </c>
      <c r="X88">
        <f>MIN(W88,CreditCap)</f>
        <v/>
      </c>
      <c r="Y88">
        <f>ROUND(Q88*(1-X88),2)</f>
        <v/>
      </c>
      <c r="Z88">
        <f>IF(Policies!I88="",0.02,Policies!I88)</f>
        <v/>
      </c>
      <c r="AA88">
        <f>IFERROR(VLOOKUP(Z88,HurrDedTable,2,FALSE),1)</f>
        <v/>
      </c>
      <c r="AB88">
        <f>IFERROR(INDEX(RateTables!$L$31:$L$33,MATCH(Policies!K88,RateTables!$K$31:$K$33,0)),1)</f>
        <v/>
      </c>
      <c r="AC88">
        <f>ROUND(F88*D88*J88*AA88*AB88,2)</f>
        <v/>
      </c>
      <c r="AD88">
        <f>MIN(AC88,Policies!G88*HurrCapPct)</f>
        <v/>
      </c>
      <c r="AE88">
        <f>Y88+AD88</f>
        <v/>
      </c>
      <c r="AF88" s="1">
        <f>EDATE(Policies!M88,Policies!N88)</f>
        <v/>
      </c>
      <c r="AG88">
        <f>ROUND(YEARFRAC(Policies!M88,AF88,3),4)</f>
        <v/>
      </c>
      <c r="AH88">
        <f>ROUND(AE88*AG88,2)</f>
        <v/>
      </c>
      <c r="AI88">
        <f>MAX(AH88,MinPremium)</f>
        <v/>
      </c>
      <c r="AJ88">
        <f>ROUNDUP(AI88,0)</f>
        <v/>
      </c>
      <c r="AK88">
        <f>VLOOKUP(Policies!N88,FeeTable,2,FALSE)</f>
        <v/>
      </c>
      <c r="AL88">
        <f>ROUND(AJ88*AssessRate,2)</f>
        <v/>
      </c>
      <c r="AM88">
        <f>ROUND((AJ88+AK88)*G88,2)</f>
        <v/>
      </c>
      <c r="AN88">
        <f>AJ88+AK88+AL88+AM88</f>
        <v/>
      </c>
      <c r="AO88">
        <f>IF(OR(Policies!G88&gt;1000000,C88&gt;20,Policies!L88&gt;=3),"REFER","OK")</f>
        <v/>
      </c>
      <c r="AP88">
        <f>ROUND(AH88/D88,3)</f>
        <v/>
      </c>
      <c r="AQ88">
        <f>Policies!B88&amp;"-"&amp;LEFT(Policies!C88,1)&amp;TEXT(Policies!D88,"00")</f>
        <v/>
      </c>
    </row>
    <row r="89">
      <c r="A89">
        <f>Policies!A89</f>
        <v/>
      </c>
      <c r="B89">
        <f>IFERROR(DATEDIF(DATE(Policies!E89,1,1),Policies!M89,"y"),0)</f>
        <v/>
      </c>
      <c r="C89">
        <f>Policies!F89*1</f>
        <v/>
      </c>
      <c r="D89">
        <f>Policies!G89/1000</f>
        <v/>
      </c>
      <c r="E89">
        <f>VLOOKUP(Policies!B89,BaseRates,2,FALSE)</f>
        <v/>
      </c>
      <c r="F89">
        <f>VLOOKUP(Policies!B89,BaseRates,3,FALSE)</f>
        <v/>
      </c>
      <c r="G89">
        <f>VLOOKUP(Policies!B89,BaseRates,4,FALSE)</f>
        <v/>
      </c>
      <c r="H89">
        <f>ROUND(E89*D89,2)</f>
        <v/>
      </c>
      <c r="I89">
        <f>INDEX(RateTables!$B$13:$B$16,MATCH(Policies!C89,RateTables!$A$13:$A$16,0))</f>
        <v/>
      </c>
      <c r="J89">
        <f>INDEX(RateTables!$C$13:$C$16,MATCH(Policies!C89,RateTables!$A$13:$A$16,0))</f>
        <v/>
      </c>
      <c r="K89">
        <f>INDEX(RateTables!$B$19:$C$28,MATCH(Policies!D89,RateTables!$A$19:$A$28,0),IF(Policies!C89="Frame",1,2))</f>
        <v/>
      </c>
      <c r="L89">
        <f>VLOOKUP(B89,AgeBands,2,TRUE)</f>
        <v/>
      </c>
      <c r="M89">
        <f>VLOOKUP(C89,RoofBands,2,TRUE)</f>
        <v/>
      </c>
      <c r="N89">
        <f>VLOOKUP(Policies!G89,AOIBands,2,TRUE)</f>
        <v/>
      </c>
      <c r="O89">
        <f>VLOOKUP(Policies!H89,RateTables!$A$31:$B$35,2,TRUE)</f>
        <v/>
      </c>
      <c r="P89">
        <f>VLOOKUP(MIN(Policies!L89,3),ClaimsTable,2,FALSE)</f>
        <v/>
      </c>
      <c r="Q89">
        <f>ROUND(H89*I89*K89*L89*M89*N89*O89*P89,2)</f>
        <v/>
      </c>
      <c r="R89">
        <f>IF(Policies!J89="Y",1,0)</f>
        <v/>
      </c>
      <c r="S89">
        <f>IF(AND(Policies!L89=0,B89&gt;=3),1,0)</f>
        <v/>
      </c>
      <c r="T89">
        <f>IF(B89&lt;=5,1,0)</f>
        <v/>
      </c>
      <c r="U89">
        <f>IF(Policies!K89="Basic",1,0)</f>
        <v/>
      </c>
      <c r="V89">
        <f>IF(Policies!K89="Fortified",1,0)</f>
        <v/>
      </c>
      <c r="W89">
        <f>SUMPRODUCT(R89:V89,CreditPcts)</f>
        <v/>
      </c>
      <c r="X89">
        <f>MIN(W89,CreditCap)</f>
        <v/>
      </c>
      <c r="Y89">
        <f>ROUND(Q89*(1-X89),2)</f>
        <v/>
      </c>
      <c r="Z89">
        <f>IF(Policies!I89="",0.02,Policies!I89)</f>
        <v/>
      </c>
      <c r="AA89">
        <f>IFERROR(VLOOKUP(Z89,HurrDedTable,2,FALSE),1)</f>
        <v/>
      </c>
      <c r="AB89">
        <f>IFERROR(INDEX(RateTables!$L$31:$L$33,MATCH(Policies!K89,RateTables!$K$31:$K$33,0)),1)</f>
        <v/>
      </c>
      <c r="AC89">
        <f>ROUND(F89*D89*J89*AA89*AB89,2)</f>
        <v/>
      </c>
      <c r="AD89">
        <f>MIN(AC89,Policies!G89*HurrCapPct)</f>
        <v/>
      </c>
      <c r="AE89">
        <f>Y89+AD89</f>
        <v/>
      </c>
      <c r="AF89" s="1">
        <f>EDATE(Policies!M89,Policies!N89)</f>
        <v/>
      </c>
      <c r="AG89">
        <f>ROUND(YEARFRAC(Policies!M89,AF89,3),4)</f>
        <v/>
      </c>
      <c r="AH89">
        <f>ROUND(AE89*AG89,2)</f>
        <v/>
      </c>
      <c r="AI89">
        <f>MAX(AH89,MinPremium)</f>
        <v/>
      </c>
      <c r="AJ89">
        <f>ROUNDUP(AI89,0)</f>
        <v/>
      </c>
      <c r="AK89">
        <f>VLOOKUP(Policies!N89,FeeTable,2,FALSE)</f>
        <v/>
      </c>
      <c r="AL89">
        <f>ROUND(AJ89*AssessRate,2)</f>
        <v/>
      </c>
      <c r="AM89">
        <f>ROUND((AJ89+AK89)*G89,2)</f>
        <v/>
      </c>
      <c r="AN89">
        <f>AJ89+AK89+AL89+AM89</f>
        <v/>
      </c>
      <c r="AO89">
        <f>IF(OR(Policies!G89&gt;1000000,C89&gt;20,Policies!L89&gt;=3),"REFER","OK")</f>
        <v/>
      </c>
      <c r="AP89">
        <f>ROUND(AH89/D89,3)</f>
        <v/>
      </c>
      <c r="AQ89">
        <f>Policies!B89&amp;"-"&amp;LEFT(Policies!C89,1)&amp;TEXT(Policies!D89,"00")</f>
        <v/>
      </c>
    </row>
    <row r="90">
      <c r="A90">
        <f>Policies!A90</f>
        <v/>
      </c>
      <c r="B90">
        <f>IFERROR(DATEDIF(DATE(Policies!E90,1,1),Policies!M90,"y"),0)</f>
        <v/>
      </c>
      <c r="C90">
        <f>Policies!F90*1</f>
        <v/>
      </c>
      <c r="D90">
        <f>Policies!G90/1000</f>
        <v/>
      </c>
      <c r="E90">
        <f>VLOOKUP(Policies!B90,BaseRates,2,FALSE)</f>
        <v/>
      </c>
      <c r="F90">
        <f>VLOOKUP(Policies!B90,BaseRates,3,FALSE)</f>
        <v/>
      </c>
      <c r="G90">
        <f>VLOOKUP(Policies!B90,BaseRates,4,FALSE)</f>
        <v/>
      </c>
      <c r="H90">
        <f>ROUND(E90*D90,2)</f>
        <v/>
      </c>
      <c r="I90">
        <f>INDEX(RateTables!$B$13:$B$16,MATCH(Policies!C90,RateTables!$A$13:$A$16,0))</f>
        <v/>
      </c>
      <c r="J90">
        <f>INDEX(RateTables!$C$13:$C$16,MATCH(Policies!C90,RateTables!$A$13:$A$16,0))</f>
        <v/>
      </c>
      <c r="K90">
        <f>INDEX(RateTables!$B$19:$C$28,MATCH(Policies!D90,RateTables!$A$19:$A$28,0),IF(Policies!C90="Frame",1,2))</f>
        <v/>
      </c>
      <c r="L90">
        <f>VLOOKUP(B90,AgeBands,2,TRUE)</f>
        <v/>
      </c>
      <c r="M90">
        <f>VLOOKUP(C90,RoofBands,2,TRUE)</f>
        <v/>
      </c>
      <c r="N90">
        <f>VLOOKUP(Policies!G90,AOIBands,2,TRUE)</f>
        <v/>
      </c>
      <c r="O90">
        <f>VLOOKUP(Policies!H90,RateTables!$A$31:$B$35,2,TRUE)</f>
        <v/>
      </c>
      <c r="P90">
        <f>VLOOKUP(MIN(Policies!L90,3),ClaimsTable,2,FALSE)</f>
        <v/>
      </c>
      <c r="Q90">
        <f>ROUND(H90*I90*K90*L90*M90*N90*O90*P90,2)</f>
        <v/>
      </c>
      <c r="R90">
        <f>IF(Policies!J90="Y",1,0)</f>
        <v/>
      </c>
      <c r="S90">
        <f>IF(AND(Policies!L90=0,B90&gt;=3),1,0)</f>
        <v/>
      </c>
      <c r="T90">
        <f>IF(B90&lt;=5,1,0)</f>
        <v/>
      </c>
      <c r="U90">
        <f>IF(Policies!K90="Basic",1,0)</f>
        <v/>
      </c>
      <c r="V90">
        <f>IF(Policies!K90="Fortified",1,0)</f>
        <v/>
      </c>
      <c r="W90">
        <f>SUMPRODUCT(R90:V90,CreditPcts)</f>
        <v/>
      </c>
      <c r="X90">
        <f>MIN(W90,CreditCap)</f>
        <v/>
      </c>
      <c r="Y90">
        <f>ROUND(Q90*(1-X90),2)</f>
        <v/>
      </c>
      <c r="Z90">
        <f>IF(Policies!I90="",0.02,Policies!I90)</f>
        <v/>
      </c>
      <c r="AA90">
        <f>IFERROR(VLOOKUP(Z90,HurrDedTable,2,FALSE),1)</f>
        <v/>
      </c>
      <c r="AB90">
        <f>IFERROR(INDEX(RateTables!$L$31:$L$33,MATCH(Policies!K90,RateTables!$K$31:$K$33,0)),1)</f>
        <v/>
      </c>
      <c r="AC90">
        <f>ROUND(F90*D90*J90*AA90*AB90,2)</f>
        <v/>
      </c>
      <c r="AD90">
        <f>MIN(AC90,Policies!G90*HurrCapPct)</f>
        <v/>
      </c>
      <c r="AE90">
        <f>Y90+AD90</f>
        <v/>
      </c>
      <c r="AF90" s="1">
        <f>EDATE(Policies!M90,Policies!N90)</f>
        <v/>
      </c>
      <c r="AG90">
        <f>ROUND(YEARFRAC(Policies!M90,AF90,3),4)</f>
        <v/>
      </c>
      <c r="AH90">
        <f>ROUND(AE90*AG90,2)</f>
        <v/>
      </c>
      <c r="AI90">
        <f>MAX(AH90,MinPremium)</f>
        <v/>
      </c>
      <c r="AJ90">
        <f>ROUNDUP(AI90,0)</f>
        <v/>
      </c>
      <c r="AK90">
        <f>VLOOKUP(Policies!N90,FeeTable,2,FALSE)</f>
        <v/>
      </c>
      <c r="AL90">
        <f>ROUND(AJ90*AssessRate,2)</f>
        <v/>
      </c>
      <c r="AM90">
        <f>ROUND((AJ90+AK90)*G90,2)</f>
        <v/>
      </c>
      <c r="AN90">
        <f>AJ90+AK90+AL90+AM90</f>
        <v/>
      </c>
      <c r="AO90">
        <f>IF(OR(Policies!G90&gt;1000000,C90&gt;20,Policies!L90&gt;=3),"REFER","OK")</f>
        <v/>
      </c>
      <c r="AP90">
        <f>ROUND(AH90/D90,3)</f>
        <v/>
      </c>
      <c r="AQ90">
        <f>Policies!B90&amp;"-"&amp;LEFT(Policies!C90,1)&amp;TEXT(Policies!D90,"00")</f>
        <v/>
      </c>
    </row>
    <row r="91">
      <c r="A91">
        <f>Policies!A91</f>
        <v/>
      </c>
      <c r="B91">
        <f>IFERROR(DATEDIF(DATE(Policies!E91,1,1),Policies!M91,"y"),0)</f>
        <v/>
      </c>
      <c r="C91">
        <f>Policies!F91*1</f>
        <v/>
      </c>
      <c r="D91">
        <f>Policies!G91/1000</f>
        <v/>
      </c>
      <c r="E91">
        <f>VLOOKUP(Policies!B91,BaseRates,2,FALSE)</f>
        <v/>
      </c>
      <c r="F91">
        <f>VLOOKUP(Policies!B91,BaseRates,3,FALSE)</f>
        <v/>
      </c>
      <c r="G91">
        <f>VLOOKUP(Policies!B91,BaseRates,4,FALSE)</f>
        <v/>
      </c>
      <c r="H91">
        <f>ROUND(E91*D91,2)</f>
        <v/>
      </c>
      <c r="I91">
        <f>INDEX(RateTables!$B$13:$B$16,MATCH(Policies!C91,RateTables!$A$13:$A$16,0))</f>
        <v/>
      </c>
      <c r="J91">
        <f>INDEX(RateTables!$C$13:$C$16,MATCH(Policies!C91,RateTables!$A$13:$A$16,0))</f>
        <v/>
      </c>
      <c r="K91">
        <f>INDEX(RateTables!$B$19:$C$28,MATCH(Policies!D91,RateTables!$A$19:$A$28,0),IF(Policies!C91="Frame",1,2))</f>
        <v/>
      </c>
      <c r="L91">
        <f>VLOOKUP(B91,AgeBands,2,TRUE)</f>
        <v/>
      </c>
      <c r="M91">
        <f>VLOOKUP(C91,RoofBands,2,TRUE)</f>
        <v/>
      </c>
      <c r="N91">
        <f>VLOOKUP(Policies!G91,AOIBands,2,TRUE)</f>
        <v/>
      </c>
      <c r="O91">
        <f>VLOOKUP(Policies!H91,RateTables!$A$31:$B$35,2,TRUE)</f>
        <v/>
      </c>
      <c r="P91">
        <f>VLOOKUP(MIN(Policies!L91,3),ClaimsTable,2,FALSE)</f>
        <v/>
      </c>
      <c r="Q91">
        <f>ROUND(H91*I91*K91*L91*M91*N91*O91*P91,2)</f>
        <v/>
      </c>
      <c r="R91">
        <f>IF(Policies!J91="Y",1,0)</f>
        <v/>
      </c>
      <c r="S91">
        <f>IF(AND(Policies!L91=0,B91&gt;=3),1,0)</f>
        <v/>
      </c>
      <c r="T91">
        <f>IF(B91&lt;=5,1,0)</f>
        <v/>
      </c>
      <c r="U91">
        <f>IF(Policies!K91="Basic",1,0)</f>
        <v/>
      </c>
      <c r="V91">
        <f>IF(Policies!K91="Fortified",1,0)</f>
        <v/>
      </c>
      <c r="W91">
        <f>SUMPRODUCT(R91:V91,CreditPcts)</f>
        <v/>
      </c>
      <c r="X91">
        <f>MIN(W91,CreditCap)</f>
        <v/>
      </c>
      <c r="Y91">
        <f>ROUND(Q91*(1-X91),2)</f>
        <v/>
      </c>
      <c r="Z91">
        <f>IF(Policies!I91="",0.02,Policies!I91)</f>
        <v/>
      </c>
      <c r="AA91">
        <f>IFERROR(VLOOKUP(Z91,HurrDedTable,2,FALSE),1)</f>
        <v/>
      </c>
      <c r="AB91">
        <f>IFERROR(INDEX(RateTables!$L$31:$L$33,MATCH(Policies!K91,RateTables!$K$31:$K$33,0)),1)</f>
        <v/>
      </c>
      <c r="AC91">
        <f>ROUND(F91*D91*J91*AA91*AB91,2)</f>
        <v/>
      </c>
      <c r="AD91">
        <f>MIN(AC91,Policies!G91*HurrCapPct)</f>
        <v/>
      </c>
      <c r="AE91">
        <f>Y91+AD91</f>
        <v/>
      </c>
      <c r="AF91" s="1">
        <f>EDATE(Policies!M91,Policies!N91)</f>
        <v/>
      </c>
      <c r="AG91">
        <f>ROUND(YEARFRAC(Policies!M91,AF91,3),4)</f>
        <v/>
      </c>
      <c r="AH91">
        <f>ROUND(AE91*AG91,2)</f>
        <v/>
      </c>
      <c r="AI91">
        <f>MAX(AH91,MinPremium)</f>
        <v/>
      </c>
      <c r="AJ91">
        <f>ROUNDUP(AI91,0)</f>
        <v/>
      </c>
      <c r="AK91">
        <f>VLOOKUP(Policies!N91,FeeTable,2,FALSE)</f>
        <v/>
      </c>
      <c r="AL91">
        <f>ROUND(AJ91*AssessRate,2)</f>
        <v/>
      </c>
      <c r="AM91">
        <f>ROUND((AJ91+AK91)*G91,2)</f>
        <v/>
      </c>
      <c r="AN91">
        <f>AJ91+AK91+AL91+AM91</f>
        <v/>
      </c>
      <c r="AO91">
        <f>IF(OR(Policies!G91&gt;1000000,C91&gt;20,Policies!L91&gt;=3),"REFER","OK")</f>
        <v/>
      </c>
      <c r="AP91">
        <f>ROUND(AH91/D91,3)</f>
        <v/>
      </c>
      <c r="AQ91">
        <f>Policies!B91&amp;"-"&amp;LEFT(Policies!C91,1)&amp;TEXT(Policies!D91,"00")</f>
        <v/>
      </c>
    </row>
    <row r="92">
      <c r="A92">
        <f>Policies!A92</f>
        <v/>
      </c>
      <c r="B92">
        <f>IFERROR(DATEDIF(DATE(Policies!E92,1,1),Policies!M92,"y"),0)</f>
        <v/>
      </c>
      <c r="C92">
        <f>Policies!F92*1</f>
        <v/>
      </c>
      <c r="D92">
        <f>Policies!G92/1000</f>
        <v/>
      </c>
      <c r="E92">
        <f>VLOOKUP(Policies!B92,BaseRates,2,FALSE)</f>
        <v/>
      </c>
      <c r="F92">
        <f>VLOOKUP(Policies!B92,BaseRates,3,FALSE)</f>
        <v/>
      </c>
      <c r="G92">
        <f>VLOOKUP(Policies!B92,BaseRates,4,FALSE)</f>
        <v/>
      </c>
      <c r="H92">
        <f>ROUND(E92*D92,2)</f>
        <v/>
      </c>
      <c r="I92">
        <f>INDEX(RateTables!$B$13:$B$16,MATCH(Policies!C92,RateTables!$A$13:$A$16,0))</f>
        <v/>
      </c>
      <c r="J92">
        <f>INDEX(RateTables!$C$13:$C$16,MATCH(Policies!C92,RateTables!$A$13:$A$16,0))</f>
        <v/>
      </c>
      <c r="K92">
        <f>INDEX(RateTables!$B$19:$C$28,MATCH(Policies!D92,RateTables!$A$19:$A$28,0),IF(Policies!C92="Frame",1,2))</f>
        <v/>
      </c>
      <c r="L92">
        <f>VLOOKUP(B92,AgeBands,2,TRUE)</f>
        <v/>
      </c>
      <c r="M92">
        <f>VLOOKUP(C92,RoofBands,2,TRUE)</f>
        <v/>
      </c>
      <c r="N92">
        <f>VLOOKUP(Policies!G92,AOIBands,2,TRUE)</f>
        <v/>
      </c>
      <c r="O92">
        <f>VLOOKUP(Policies!H92,RateTables!$A$31:$B$35,2,TRUE)</f>
        <v/>
      </c>
      <c r="P92">
        <f>VLOOKUP(MIN(Policies!L92,3),ClaimsTable,2,FALSE)</f>
        <v/>
      </c>
      <c r="Q92">
        <f>ROUND(H92*I92*K92*L92*M92*N92*O92*P92,2)</f>
        <v/>
      </c>
      <c r="R92">
        <f>IF(Policies!J92="Y",1,0)</f>
        <v/>
      </c>
      <c r="S92">
        <f>IF(AND(Policies!L92=0,B92&gt;=3),1,0)</f>
        <v/>
      </c>
      <c r="T92">
        <f>IF(B92&lt;=5,1,0)</f>
        <v/>
      </c>
      <c r="U92">
        <f>IF(Policies!K92="Basic",1,0)</f>
        <v/>
      </c>
      <c r="V92">
        <f>IF(Policies!K92="Fortified",1,0)</f>
        <v/>
      </c>
      <c r="W92">
        <f>SUMPRODUCT(R92:V92,CreditPcts)</f>
        <v/>
      </c>
      <c r="X92">
        <f>MIN(W92,CreditCap)</f>
        <v/>
      </c>
      <c r="Y92">
        <f>ROUND(Q92*(1-X92),2)</f>
        <v/>
      </c>
      <c r="Z92">
        <f>IF(Policies!I92="",0.02,Policies!I92)</f>
        <v/>
      </c>
      <c r="AA92">
        <f>IFERROR(VLOOKUP(Z92,HurrDedTable,2,FALSE),1)</f>
        <v/>
      </c>
      <c r="AB92">
        <f>IFERROR(INDEX(RateTables!$L$31:$L$33,MATCH(Policies!K92,RateTables!$K$31:$K$33,0)),1)</f>
        <v/>
      </c>
      <c r="AC92">
        <f>ROUND(F92*D92*J92*AA92*AB92,2)</f>
        <v/>
      </c>
      <c r="AD92">
        <f>MIN(AC92,Policies!G92*HurrCapPct)</f>
        <v/>
      </c>
      <c r="AE92">
        <f>Y92+AD92</f>
        <v/>
      </c>
      <c r="AF92" s="1">
        <f>EDATE(Policies!M92,Policies!N92)</f>
        <v/>
      </c>
      <c r="AG92">
        <f>ROUND(YEARFRAC(Policies!M92,AF92,3),4)</f>
        <v/>
      </c>
      <c r="AH92">
        <f>ROUND(AE92*AG92,2)</f>
        <v/>
      </c>
      <c r="AI92">
        <f>MAX(AH92,MinPremium)</f>
        <v/>
      </c>
      <c r="AJ92">
        <f>ROUNDUP(AI92,0)</f>
        <v/>
      </c>
      <c r="AK92">
        <f>VLOOKUP(Policies!N92,FeeTable,2,FALSE)</f>
        <v/>
      </c>
      <c r="AL92">
        <f>ROUND(AJ92*AssessRate,2)</f>
        <v/>
      </c>
      <c r="AM92">
        <f>ROUND((AJ92+AK92)*G92,2)</f>
        <v/>
      </c>
      <c r="AN92">
        <f>AJ92+AK92+AL92+AM92</f>
        <v/>
      </c>
      <c r="AO92">
        <f>IF(OR(Policies!G92&gt;1000000,C92&gt;20,Policies!L92&gt;=3),"REFER","OK")</f>
        <v/>
      </c>
      <c r="AP92">
        <f>ROUND(AH92/D92,3)</f>
        <v/>
      </c>
      <c r="AQ92">
        <f>Policies!B92&amp;"-"&amp;LEFT(Policies!C92,1)&amp;TEXT(Policies!D92,"00")</f>
        <v/>
      </c>
    </row>
    <row r="93">
      <c r="A93">
        <f>Policies!A93</f>
        <v/>
      </c>
      <c r="B93">
        <f>IFERROR(DATEDIF(DATE(Policies!E93,1,1),Policies!M93,"y"),0)</f>
        <v/>
      </c>
      <c r="C93">
        <f>Policies!F93*1</f>
        <v/>
      </c>
      <c r="D93">
        <f>Policies!G93/1000</f>
        <v/>
      </c>
      <c r="E93">
        <f>VLOOKUP(Policies!B93,BaseRates,2,FALSE)</f>
        <v/>
      </c>
      <c r="F93">
        <f>VLOOKUP(Policies!B93,BaseRates,3,FALSE)</f>
        <v/>
      </c>
      <c r="G93">
        <f>VLOOKUP(Policies!B93,BaseRates,4,FALSE)</f>
        <v/>
      </c>
      <c r="H93">
        <f>ROUND(E93*D93,2)</f>
        <v/>
      </c>
      <c r="I93">
        <f>INDEX(RateTables!$B$13:$B$16,MATCH(Policies!C93,RateTables!$A$13:$A$16,0))</f>
        <v/>
      </c>
      <c r="J93">
        <f>INDEX(RateTables!$C$13:$C$16,MATCH(Policies!C93,RateTables!$A$13:$A$16,0))</f>
        <v/>
      </c>
      <c r="K93">
        <f>INDEX(RateTables!$B$19:$C$28,MATCH(Policies!D93,RateTables!$A$19:$A$28,0),IF(Policies!C93="Frame",1,2))</f>
        <v/>
      </c>
      <c r="L93">
        <f>VLOOKUP(B93,AgeBands,2,TRUE)</f>
        <v/>
      </c>
      <c r="M93">
        <f>VLOOKUP(C93,RoofBands,2,TRUE)</f>
        <v/>
      </c>
      <c r="N93">
        <f>VLOOKUP(Policies!G93,AOIBands,2,TRUE)</f>
        <v/>
      </c>
      <c r="O93">
        <f>VLOOKUP(Policies!H93,RateTables!$A$31:$B$35,2,TRUE)</f>
        <v/>
      </c>
      <c r="P93">
        <f>VLOOKUP(MIN(Policies!L93,3),ClaimsTable,2,FALSE)</f>
        <v/>
      </c>
      <c r="Q93">
        <f>ROUND(H93*I93*K93*L93*M93*N93*O93*P93,2)</f>
        <v/>
      </c>
      <c r="R93">
        <f>IF(Policies!J93="Y",1,0)</f>
        <v/>
      </c>
      <c r="S93">
        <f>IF(AND(Policies!L93=0,B93&gt;=3),1,0)</f>
        <v/>
      </c>
      <c r="T93">
        <f>IF(B93&lt;=5,1,0)</f>
        <v/>
      </c>
      <c r="U93">
        <f>IF(Policies!K93="Basic",1,0)</f>
        <v/>
      </c>
      <c r="V93">
        <f>IF(Policies!K93="Fortified",1,0)</f>
        <v/>
      </c>
      <c r="W93">
        <f>SUMPRODUCT(R93:V93,CreditPcts)</f>
        <v/>
      </c>
      <c r="X93">
        <f>MIN(W93,CreditCap)</f>
        <v/>
      </c>
      <c r="Y93">
        <f>ROUND(Q93*(1-X93),2)</f>
        <v/>
      </c>
      <c r="Z93">
        <f>IF(Policies!I93="",0.02,Policies!I93)</f>
        <v/>
      </c>
      <c r="AA93">
        <f>IFERROR(VLOOKUP(Z93,HurrDedTable,2,FALSE),1)</f>
        <v/>
      </c>
      <c r="AB93">
        <f>IFERROR(INDEX(RateTables!$L$31:$L$33,MATCH(Policies!K93,RateTables!$K$31:$K$33,0)),1)</f>
        <v/>
      </c>
      <c r="AC93">
        <f>ROUND(F93*D93*J93*AA93*AB93,2)</f>
        <v/>
      </c>
      <c r="AD93">
        <f>MIN(AC93,Policies!G93*HurrCapPct)</f>
        <v/>
      </c>
      <c r="AE93">
        <f>Y93+AD93</f>
        <v/>
      </c>
      <c r="AF93" s="1">
        <f>EDATE(Policies!M93,Policies!N93)</f>
        <v/>
      </c>
      <c r="AG93">
        <f>ROUND(YEARFRAC(Policies!M93,AF93,3),4)</f>
        <v/>
      </c>
      <c r="AH93">
        <f>ROUND(AE93*AG93,2)</f>
        <v/>
      </c>
      <c r="AI93">
        <f>MAX(AH93,MinPremium)</f>
        <v/>
      </c>
      <c r="AJ93">
        <f>ROUNDUP(AI93,0)</f>
        <v/>
      </c>
      <c r="AK93">
        <f>VLOOKUP(Policies!N93,FeeTable,2,FALSE)</f>
        <v/>
      </c>
      <c r="AL93">
        <f>ROUND(AJ93*AssessRate,2)</f>
        <v/>
      </c>
      <c r="AM93">
        <f>ROUND((AJ93+AK93)*G93,2)</f>
        <v/>
      </c>
      <c r="AN93">
        <f>AJ93+AK93+AL93+AM93</f>
        <v/>
      </c>
      <c r="AO93">
        <f>IF(OR(Policies!G93&gt;1000000,C93&gt;20,Policies!L93&gt;=3),"REFER","OK")</f>
        <v/>
      </c>
      <c r="AP93">
        <f>ROUND(AH93/D93,3)</f>
        <v/>
      </c>
      <c r="AQ93">
        <f>Policies!B93&amp;"-"&amp;LEFT(Policies!C93,1)&amp;TEXT(Policies!D93,"00")</f>
        <v/>
      </c>
    </row>
    <row r="94">
      <c r="A94">
        <f>Policies!A94</f>
        <v/>
      </c>
      <c r="B94">
        <f>IFERROR(DATEDIF(DATE(Policies!E94,1,1),Policies!M94,"y"),0)</f>
        <v/>
      </c>
      <c r="C94">
        <f>Policies!F94*1</f>
        <v/>
      </c>
      <c r="D94">
        <f>Policies!G94/1000</f>
        <v/>
      </c>
      <c r="E94">
        <f>VLOOKUP(Policies!B94,BaseRates,2,FALSE)</f>
        <v/>
      </c>
      <c r="F94">
        <f>VLOOKUP(Policies!B94,BaseRates,3,FALSE)</f>
        <v/>
      </c>
      <c r="G94">
        <f>VLOOKUP(Policies!B94,BaseRates,4,FALSE)</f>
        <v/>
      </c>
      <c r="H94">
        <f>ROUND(E94*D94,2)</f>
        <v/>
      </c>
      <c r="I94">
        <f>INDEX(RateTables!$B$13:$B$16,MATCH(Policies!C94,RateTables!$A$13:$A$16,0))</f>
        <v/>
      </c>
      <c r="J94">
        <f>INDEX(RateTables!$C$13:$C$16,MATCH(Policies!C94,RateTables!$A$13:$A$16,0))</f>
        <v/>
      </c>
      <c r="K94">
        <f>INDEX(RateTables!$B$19:$C$28,MATCH(Policies!D94,RateTables!$A$19:$A$28,0),IF(Policies!C94="Frame",1,2))</f>
        <v/>
      </c>
      <c r="L94">
        <f>VLOOKUP(B94,AgeBands,2,TRUE)</f>
        <v/>
      </c>
      <c r="M94">
        <f>VLOOKUP(C94,RoofBands,2,TRUE)</f>
        <v/>
      </c>
      <c r="N94">
        <f>VLOOKUP(Policies!G94,AOIBands,2,TRUE)</f>
        <v/>
      </c>
      <c r="O94">
        <f>VLOOKUP(Policies!H94,RateTables!$A$31:$B$35,2,TRUE)</f>
        <v/>
      </c>
      <c r="P94">
        <f>VLOOKUP(MIN(Policies!L94,3),ClaimsTable,2,FALSE)</f>
        <v/>
      </c>
      <c r="Q94">
        <f>ROUND(H94*I94*K94*L94*M94*N94*O94*P94,2)</f>
        <v/>
      </c>
      <c r="R94">
        <f>IF(Policies!J94="Y",1,0)</f>
        <v/>
      </c>
      <c r="S94">
        <f>IF(AND(Policies!L94=0,B94&gt;=3),1,0)</f>
        <v/>
      </c>
      <c r="T94">
        <f>IF(B94&lt;=5,1,0)</f>
        <v/>
      </c>
      <c r="U94">
        <f>IF(Policies!K94="Basic",1,0)</f>
        <v/>
      </c>
      <c r="V94">
        <f>IF(Policies!K94="Fortified",1,0)</f>
        <v/>
      </c>
      <c r="W94">
        <f>SUMPRODUCT(R94:V94,CreditPcts)</f>
        <v/>
      </c>
      <c r="X94">
        <f>MIN(W94,CreditCap)</f>
        <v/>
      </c>
      <c r="Y94">
        <f>ROUND(Q94*(1-X94),2)</f>
        <v/>
      </c>
      <c r="Z94">
        <f>IF(Policies!I94="",0.02,Policies!I94)</f>
        <v/>
      </c>
      <c r="AA94">
        <f>IFERROR(VLOOKUP(Z94,HurrDedTable,2,FALSE),1)</f>
        <v/>
      </c>
      <c r="AB94">
        <f>IFERROR(INDEX(RateTables!$L$31:$L$33,MATCH(Policies!K94,RateTables!$K$31:$K$33,0)),1)</f>
        <v/>
      </c>
      <c r="AC94">
        <f>ROUND(F94*D94*J94*AA94*AB94,2)</f>
        <v/>
      </c>
      <c r="AD94">
        <f>MIN(AC94,Policies!G94*HurrCapPct)</f>
        <v/>
      </c>
      <c r="AE94">
        <f>Y94+AD94</f>
        <v/>
      </c>
      <c r="AF94" s="1">
        <f>EDATE(Policies!M94,Policies!N94)</f>
        <v/>
      </c>
      <c r="AG94">
        <f>ROUND(YEARFRAC(Policies!M94,AF94,3),4)</f>
        <v/>
      </c>
      <c r="AH94">
        <f>ROUND(AE94*AG94,2)</f>
        <v/>
      </c>
      <c r="AI94">
        <f>MAX(AH94,MinPremium)</f>
        <v/>
      </c>
      <c r="AJ94">
        <f>ROUNDUP(AI94,0)</f>
        <v/>
      </c>
      <c r="AK94">
        <f>VLOOKUP(Policies!N94,FeeTable,2,FALSE)</f>
        <v/>
      </c>
      <c r="AL94">
        <f>ROUND(AJ94*AssessRate,2)</f>
        <v/>
      </c>
      <c r="AM94">
        <f>ROUND((AJ94+AK94)*G94,2)</f>
        <v/>
      </c>
      <c r="AN94">
        <f>AJ94+AK94+AL94+AM94</f>
        <v/>
      </c>
      <c r="AO94">
        <f>IF(OR(Policies!G94&gt;1000000,C94&gt;20,Policies!L94&gt;=3),"REFER","OK")</f>
        <v/>
      </c>
      <c r="AP94">
        <f>ROUND(AH94/D94,3)</f>
        <v/>
      </c>
      <c r="AQ94">
        <f>Policies!B94&amp;"-"&amp;LEFT(Policies!C94,1)&amp;TEXT(Policies!D94,"00")</f>
        <v/>
      </c>
    </row>
    <row r="95">
      <c r="A95">
        <f>Policies!A95</f>
        <v/>
      </c>
      <c r="B95">
        <f>IFERROR(DATEDIF(DATE(Policies!E95,1,1),Policies!M95,"y"),0)</f>
        <v/>
      </c>
      <c r="C95">
        <f>Policies!F95*1</f>
        <v/>
      </c>
      <c r="D95">
        <f>Policies!G95/1000</f>
        <v/>
      </c>
      <c r="E95">
        <f>VLOOKUP(Policies!B95,BaseRates,2,FALSE)</f>
        <v/>
      </c>
      <c r="F95">
        <f>VLOOKUP(Policies!B95,BaseRates,3,FALSE)</f>
        <v/>
      </c>
      <c r="G95">
        <f>VLOOKUP(Policies!B95,BaseRates,4,FALSE)</f>
        <v/>
      </c>
      <c r="H95">
        <f>ROUND(E95*D95,2)</f>
        <v/>
      </c>
      <c r="I95">
        <f>INDEX(RateTables!$B$13:$B$16,MATCH(Policies!C95,RateTables!$A$13:$A$16,0))</f>
        <v/>
      </c>
      <c r="J95">
        <f>INDEX(RateTables!$C$13:$C$16,MATCH(Policies!C95,RateTables!$A$13:$A$16,0))</f>
        <v/>
      </c>
      <c r="K95">
        <f>INDEX(RateTables!$B$19:$C$28,MATCH(Policies!D95,RateTables!$A$19:$A$28,0),IF(Policies!C95="Frame",1,2))</f>
        <v/>
      </c>
      <c r="L95">
        <f>VLOOKUP(B95,AgeBands,2,TRUE)</f>
        <v/>
      </c>
      <c r="M95">
        <f>VLOOKUP(C95,RoofBands,2,TRUE)</f>
        <v/>
      </c>
      <c r="N95">
        <f>VLOOKUP(Policies!G95,AOIBands,2,TRUE)</f>
        <v/>
      </c>
      <c r="O95">
        <f>VLOOKUP(Policies!H95,RateTables!$A$31:$B$35,2,TRUE)</f>
        <v/>
      </c>
      <c r="P95">
        <f>VLOOKUP(MIN(Policies!L95,3),ClaimsTable,2,FALSE)</f>
        <v/>
      </c>
      <c r="Q95">
        <f>ROUND(H95*I95*K95*L95*M95*N95*O95*P95,2)</f>
        <v/>
      </c>
      <c r="R95">
        <f>IF(Policies!J95="Y",1,0)</f>
        <v/>
      </c>
      <c r="S95">
        <f>IF(AND(Policies!L95=0,B95&gt;=3),1,0)</f>
        <v/>
      </c>
      <c r="T95">
        <f>IF(B95&lt;=5,1,0)</f>
        <v/>
      </c>
      <c r="U95">
        <f>IF(Policies!K95="Basic",1,0)</f>
        <v/>
      </c>
      <c r="V95">
        <f>IF(Policies!K95="Fortified",1,0)</f>
        <v/>
      </c>
      <c r="W95">
        <f>SUMPRODUCT(R95:V95,CreditPcts)</f>
        <v/>
      </c>
      <c r="X95">
        <f>MIN(W95,CreditCap)</f>
        <v/>
      </c>
      <c r="Y95">
        <f>ROUND(Q95*(1-X95),2)</f>
        <v/>
      </c>
      <c r="Z95">
        <f>IF(Policies!I95="",0.02,Policies!I95)</f>
        <v/>
      </c>
      <c r="AA95">
        <f>IFERROR(VLOOKUP(Z95,HurrDedTable,2,FALSE),1)</f>
        <v/>
      </c>
      <c r="AB95">
        <f>IFERROR(INDEX(RateTables!$L$31:$L$33,MATCH(Policies!K95,RateTables!$K$31:$K$33,0)),1)</f>
        <v/>
      </c>
      <c r="AC95">
        <f>ROUND(F95*D95*J95*AA95*AB95,2)</f>
        <v/>
      </c>
      <c r="AD95">
        <f>MIN(AC95,Policies!G95*HurrCapPct)</f>
        <v/>
      </c>
      <c r="AE95">
        <f>Y95+AD95</f>
        <v/>
      </c>
      <c r="AF95" s="1">
        <f>EDATE(Policies!M95,Policies!N95)</f>
        <v/>
      </c>
      <c r="AG95">
        <f>ROUND(YEARFRAC(Policies!M95,AF95,3),4)</f>
        <v/>
      </c>
      <c r="AH95">
        <f>ROUND(AE95*AG95,2)</f>
        <v/>
      </c>
      <c r="AI95">
        <f>MAX(AH95,MinPremium)</f>
        <v/>
      </c>
      <c r="AJ95">
        <f>ROUNDUP(AI95,0)</f>
        <v/>
      </c>
      <c r="AK95">
        <f>VLOOKUP(Policies!N95,FeeTable,2,FALSE)</f>
        <v/>
      </c>
      <c r="AL95">
        <f>ROUND(AJ95*AssessRate,2)</f>
        <v/>
      </c>
      <c r="AM95">
        <f>ROUND((AJ95+AK95)*G95,2)</f>
        <v/>
      </c>
      <c r="AN95">
        <f>AJ95+AK95+AL95+AM95</f>
        <v/>
      </c>
      <c r="AO95">
        <f>IF(OR(Policies!G95&gt;1000000,C95&gt;20,Policies!L95&gt;=3),"REFER","OK")</f>
        <v/>
      </c>
      <c r="AP95">
        <f>ROUND(AH95/D95,3)</f>
        <v/>
      </c>
      <c r="AQ95">
        <f>Policies!B95&amp;"-"&amp;LEFT(Policies!C95,1)&amp;TEXT(Policies!D95,"00")</f>
        <v/>
      </c>
    </row>
    <row r="96">
      <c r="A96">
        <f>Policies!A96</f>
        <v/>
      </c>
      <c r="B96">
        <f>IFERROR(DATEDIF(DATE(Policies!E96,1,1),Policies!M96,"y"),0)</f>
        <v/>
      </c>
      <c r="C96">
        <f>Policies!F96*1</f>
        <v/>
      </c>
      <c r="D96">
        <f>Policies!G96/1000</f>
        <v/>
      </c>
      <c r="E96">
        <f>VLOOKUP(Policies!B96,BaseRates,2,FALSE)</f>
        <v/>
      </c>
      <c r="F96">
        <f>VLOOKUP(Policies!B96,BaseRates,3,FALSE)</f>
        <v/>
      </c>
      <c r="G96">
        <f>VLOOKUP(Policies!B96,BaseRates,4,FALSE)</f>
        <v/>
      </c>
      <c r="H96">
        <f>ROUND(E96*D96,2)</f>
        <v/>
      </c>
      <c r="I96">
        <f>INDEX(RateTables!$B$13:$B$16,MATCH(Policies!C96,RateTables!$A$13:$A$16,0))</f>
        <v/>
      </c>
      <c r="J96">
        <f>INDEX(RateTables!$C$13:$C$16,MATCH(Policies!C96,RateTables!$A$13:$A$16,0))</f>
        <v/>
      </c>
      <c r="K96">
        <f>INDEX(RateTables!$B$19:$C$28,MATCH(Policies!D96,RateTables!$A$19:$A$28,0),IF(Policies!C96="Frame",1,2))</f>
        <v/>
      </c>
      <c r="L96">
        <f>VLOOKUP(B96,AgeBands,2,TRUE)</f>
        <v/>
      </c>
      <c r="M96">
        <f>VLOOKUP(C96,RoofBands,2,TRUE)</f>
        <v/>
      </c>
      <c r="N96">
        <f>VLOOKUP(Policies!G96,AOIBands,2,TRUE)</f>
        <v/>
      </c>
      <c r="O96">
        <f>VLOOKUP(Policies!H96,RateTables!$A$31:$B$35,2,TRUE)</f>
        <v/>
      </c>
      <c r="P96">
        <f>VLOOKUP(MIN(Policies!L96,3),ClaimsTable,2,FALSE)</f>
        <v/>
      </c>
      <c r="Q96">
        <f>ROUND(H96*I96*K96*L96*M96*N96*O96*P96,2)</f>
        <v/>
      </c>
      <c r="R96">
        <f>IF(Policies!J96="Y",1,0)</f>
        <v/>
      </c>
      <c r="S96">
        <f>IF(AND(Policies!L96=0,B96&gt;=3),1,0)</f>
        <v/>
      </c>
      <c r="T96">
        <f>IF(B96&lt;=5,1,0)</f>
        <v/>
      </c>
      <c r="U96">
        <f>IF(Policies!K96="Basic",1,0)</f>
        <v/>
      </c>
      <c r="V96">
        <f>IF(Policies!K96="Fortified",1,0)</f>
        <v/>
      </c>
      <c r="W96">
        <f>SUMPRODUCT(R96:V96,CreditPcts)</f>
        <v/>
      </c>
      <c r="X96">
        <f>MIN(W96,CreditCap)</f>
        <v/>
      </c>
      <c r="Y96">
        <f>ROUND(Q96*(1-X96),2)</f>
        <v/>
      </c>
      <c r="Z96">
        <f>IF(Policies!I96="",0.02,Policies!I96)</f>
        <v/>
      </c>
      <c r="AA96">
        <f>IFERROR(VLOOKUP(Z96,HurrDedTable,2,FALSE),1)</f>
        <v/>
      </c>
      <c r="AB96">
        <f>IFERROR(INDEX(RateTables!$L$31:$L$33,MATCH(Policies!K96,RateTables!$K$31:$K$33,0)),1)</f>
        <v/>
      </c>
      <c r="AC96">
        <f>ROUND(F96*D96*J96*AA96*AB96,2)</f>
        <v/>
      </c>
      <c r="AD96">
        <f>MIN(AC96,Policies!G96*HurrCapPct)</f>
        <v/>
      </c>
      <c r="AE96">
        <f>Y96+AD96</f>
        <v/>
      </c>
      <c r="AF96" s="1">
        <f>EDATE(Policies!M96,Policies!N96)</f>
        <v/>
      </c>
      <c r="AG96">
        <f>ROUND(YEARFRAC(Policies!M96,AF96,3),4)</f>
        <v/>
      </c>
      <c r="AH96">
        <f>ROUND(AE96*AG96,2)</f>
        <v/>
      </c>
      <c r="AI96">
        <f>MAX(AH96,MinPremium)</f>
        <v/>
      </c>
      <c r="AJ96">
        <f>ROUNDUP(AI96,0)</f>
        <v/>
      </c>
      <c r="AK96">
        <f>VLOOKUP(Policies!N96,FeeTable,2,FALSE)</f>
        <v/>
      </c>
      <c r="AL96">
        <f>ROUND(AJ96*AssessRate,2)</f>
        <v/>
      </c>
      <c r="AM96">
        <f>ROUND((AJ96+AK96)*G96,2)</f>
        <v/>
      </c>
      <c r="AN96">
        <f>AJ96+AK96+AL96+AM96</f>
        <v/>
      </c>
      <c r="AO96">
        <f>IF(OR(Policies!G96&gt;1000000,C96&gt;20,Policies!L96&gt;=3),"REFER","OK")</f>
        <v/>
      </c>
      <c r="AP96">
        <f>ROUND(AH96/D96,3)</f>
        <v/>
      </c>
      <c r="AQ96">
        <f>Policies!B96&amp;"-"&amp;LEFT(Policies!C96,1)&amp;TEXT(Policies!D96,"00")</f>
        <v/>
      </c>
    </row>
    <row r="97">
      <c r="A97">
        <f>Policies!A97</f>
        <v/>
      </c>
      <c r="B97">
        <f>IFERROR(DATEDIF(DATE(Policies!E97,1,1),Policies!M97,"y"),0)</f>
        <v/>
      </c>
      <c r="C97">
        <f>Policies!F97*1</f>
        <v/>
      </c>
      <c r="D97">
        <f>Policies!G97/1000</f>
        <v/>
      </c>
      <c r="E97">
        <f>VLOOKUP(Policies!B97,BaseRates,2,FALSE)</f>
        <v/>
      </c>
      <c r="F97">
        <f>VLOOKUP(Policies!B97,BaseRates,3,FALSE)</f>
        <v/>
      </c>
      <c r="G97">
        <f>VLOOKUP(Policies!B97,BaseRates,4,FALSE)</f>
        <v/>
      </c>
      <c r="H97">
        <f>ROUND(E97*D97,2)</f>
        <v/>
      </c>
      <c r="I97">
        <f>INDEX(RateTables!$B$13:$B$16,MATCH(Policies!C97,RateTables!$A$13:$A$16,0))</f>
        <v/>
      </c>
      <c r="J97">
        <f>INDEX(RateTables!$C$13:$C$16,MATCH(Policies!C97,RateTables!$A$13:$A$16,0))</f>
        <v/>
      </c>
      <c r="K97">
        <f>INDEX(RateTables!$B$19:$C$28,MATCH(Policies!D97,RateTables!$A$19:$A$28,0),IF(Policies!C97="Frame",1,2))</f>
        <v/>
      </c>
      <c r="L97">
        <f>VLOOKUP(B97,AgeBands,2,TRUE)</f>
        <v/>
      </c>
      <c r="M97">
        <f>VLOOKUP(C97,RoofBands,2,TRUE)</f>
        <v/>
      </c>
      <c r="N97">
        <f>VLOOKUP(Policies!G97,AOIBands,2,TRUE)</f>
        <v/>
      </c>
      <c r="O97">
        <f>VLOOKUP(Policies!H97,RateTables!$A$31:$B$35,2,TRUE)</f>
        <v/>
      </c>
      <c r="P97">
        <f>VLOOKUP(MIN(Policies!L97,3),ClaimsTable,2,FALSE)</f>
        <v/>
      </c>
      <c r="Q97">
        <f>ROUND(H97*I97*K97*L97*M97*N97*O97*P97,2)</f>
        <v/>
      </c>
      <c r="R97">
        <f>IF(Policies!J97="Y",1,0)</f>
        <v/>
      </c>
      <c r="S97">
        <f>IF(AND(Policies!L97=0,B97&gt;=3),1,0)</f>
        <v/>
      </c>
      <c r="T97">
        <f>IF(B97&lt;=5,1,0)</f>
        <v/>
      </c>
      <c r="U97">
        <f>IF(Policies!K97="Basic",1,0)</f>
        <v/>
      </c>
      <c r="V97">
        <f>IF(Policies!K97="Fortified",1,0)</f>
        <v/>
      </c>
      <c r="W97">
        <f>SUMPRODUCT(R97:V97,CreditPcts)</f>
        <v/>
      </c>
      <c r="X97">
        <f>MIN(W97,CreditCap)</f>
        <v/>
      </c>
      <c r="Y97">
        <f>ROUND(Q97*(1-X97),2)</f>
        <v/>
      </c>
      <c r="Z97">
        <f>IF(Policies!I97="",0.02,Policies!I97)</f>
        <v/>
      </c>
      <c r="AA97">
        <f>IFERROR(VLOOKUP(Z97,HurrDedTable,2,FALSE),1)</f>
        <v/>
      </c>
      <c r="AB97">
        <f>IFERROR(INDEX(RateTables!$L$31:$L$33,MATCH(Policies!K97,RateTables!$K$31:$K$33,0)),1)</f>
        <v/>
      </c>
      <c r="AC97">
        <f>ROUND(F97*D97*J97*AA97*AB97,2)</f>
        <v/>
      </c>
      <c r="AD97">
        <f>MIN(AC97,Policies!G97*HurrCapPct)</f>
        <v/>
      </c>
      <c r="AE97">
        <f>Y97+AD97</f>
        <v/>
      </c>
      <c r="AF97" s="1">
        <f>EDATE(Policies!M97,Policies!N97)</f>
        <v/>
      </c>
      <c r="AG97">
        <f>ROUND(YEARFRAC(Policies!M97,AF97,3),4)</f>
        <v/>
      </c>
      <c r="AH97">
        <f>ROUND(AE97*AG97,2)</f>
        <v/>
      </c>
      <c r="AI97">
        <f>MAX(AH97,MinPremium)</f>
        <v/>
      </c>
      <c r="AJ97">
        <f>ROUNDUP(AI97,0)</f>
        <v/>
      </c>
      <c r="AK97">
        <f>VLOOKUP(Policies!N97,FeeTable,2,FALSE)</f>
        <v/>
      </c>
      <c r="AL97">
        <f>ROUND(AJ97*AssessRate,2)</f>
        <v/>
      </c>
      <c r="AM97">
        <f>ROUND((AJ97+AK97)*G97,2)</f>
        <v/>
      </c>
      <c r="AN97">
        <f>AJ97+AK97+AL97+AM97</f>
        <v/>
      </c>
      <c r="AO97">
        <f>IF(OR(Policies!G97&gt;1000000,C97&gt;20,Policies!L97&gt;=3),"REFER","OK")</f>
        <v/>
      </c>
      <c r="AP97">
        <f>ROUND(AH97/D97,3)</f>
        <v/>
      </c>
      <c r="AQ97">
        <f>Policies!B97&amp;"-"&amp;LEFT(Policies!C97,1)&amp;TEXT(Policies!D97,"00")</f>
        <v/>
      </c>
    </row>
    <row r="98">
      <c r="A98">
        <f>Policies!A98</f>
        <v/>
      </c>
      <c r="B98">
        <f>IFERROR(DATEDIF(DATE(Policies!E98,1,1),Policies!M98,"y"),0)</f>
        <v/>
      </c>
      <c r="C98">
        <f>Policies!F98*1</f>
        <v/>
      </c>
      <c r="D98">
        <f>Policies!G98/1000</f>
        <v/>
      </c>
      <c r="E98">
        <f>VLOOKUP(Policies!B98,BaseRates,2,FALSE)</f>
        <v/>
      </c>
      <c r="F98">
        <f>VLOOKUP(Policies!B98,BaseRates,3,FALSE)</f>
        <v/>
      </c>
      <c r="G98">
        <f>VLOOKUP(Policies!B98,BaseRates,4,FALSE)</f>
        <v/>
      </c>
      <c r="H98">
        <f>ROUND(E98*D98,2)</f>
        <v/>
      </c>
      <c r="I98">
        <f>INDEX(RateTables!$B$13:$B$16,MATCH(Policies!C98,RateTables!$A$13:$A$16,0))</f>
        <v/>
      </c>
      <c r="J98">
        <f>INDEX(RateTables!$C$13:$C$16,MATCH(Policies!C98,RateTables!$A$13:$A$16,0))</f>
        <v/>
      </c>
      <c r="K98">
        <f>INDEX(RateTables!$B$19:$C$28,MATCH(Policies!D98,RateTables!$A$19:$A$28,0),IF(Policies!C98="Frame",1,2))</f>
        <v/>
      </c>
      <c r="L98">
        <f>VLOOKUP(B98,AgeBands,2,TRUE)</f>
        <v/>
      </c>
      <c r="M98">
        <f>VLOOKUP(C98,RoofBands,2,TRUE)</f>
        <v/>
      </c>
      <c r="N98">
        <f>VLOOKUP(Policies!G98,AOIBands,2,TRUE)</f>
        <v/>
      </c>
      <c r="O98">
        <f>VLOOKUP(Policies!H98,RateTables!$A$31:$B$35,2,TRUE)</f>
        <v/>
      </c>
      <c r="P98">
        <f>VLOOKUP(MIN(Policies!L98,3),ClaimsTable,2,FALSE)</f>
        <v/>
      </c>
      <c r="Q98">
        <f>ROUND(H98*I98*K98*L98*M98*N98*O98*P98,2)</f>
        <v/>
      </c>
      <c r="R98">
        <f>IF(Policies!J98="Y",1,0)</f>
        <v/>
      </c>
      <c r="S98">
        <f>IF(AND(Policies!L98=0,B98&gt;=3),1,0)</f>
        <v/>
      </c>
      <c r="T98">
        <f>IF(B98&lt;=5,1,0)</f>
        <v/>
      </c>
      <c r="U98">
        <f>IF(Policies!K98="Basic",1,0)</f>
        <v/>
      </c>
      <c r="V98">
        <f>IF(Policies!K98="Fortified",1,0)</f>
        <v/>
      </c>
      <c r="W98">
        <f>SUMPRODUCT(R98:V98,CreditPcts)</f>
        <v/>
      </c>
      <c r="X98">
        <f>MIN(W98,CreditCap)</f>
        <v/>
      </c>
      <c r="Y98">
        <f>ROUND(Q98*(1-X98),2)</f>
        <v/>
      </c>
      <c r="Z98">
        <f>IF(Policies!I98="",0.02,Policies!I98)</f>
        <v/>
      </c>
      <c r="AA98">
        <f>IFERROR(VLOOKUP(Z98,HurrDedTable,2,FALSE),1)</f>
        <v/>
      </c>
      <c r="AB98">
        <f>IFERROR(INDEX(RateTables!$L$31:$L$33,MATCH(Policies!K98,RateTables!$K$31:$K$33,0)),1)</f>
        <v/>
      </c>
      <c r="AC98">
        <f>ROUND(F98*D98*J98*AA98*AB98,2)</f>
        <v/>
      </c>
      <c r="AD98">
        <f>MIN(AC98,Policies!G98*HurrCapPct)</f>
        <v/>
      </c>
      <c r="AE98">
        <f>Y98+AD98</f>
        <v/>
      </c>
      <c r="AF98" s="1">
        <f>EDATE(Policies!M98,Policies!N98)</f>
        <v/>
      </c>
      <c r="AG98">
        <f>ROUND(YEARFRAC(Policies!M98,AF98,3),4)</f>
        <v/>
      </c>
      <c r="AH98">
        <f>ROUND(AE98*AG98,2)</f>
        <v/>
      </c>
      <c r="AI98">
        <f>MAX(AH98,MinPremium)</f>
        <v/>
      </c>
      <c r="AJ98">
        <f>ROUNDUP(AI98,0)</f>
        <v/>
      </c>
      <c r="AK98">
        <f>VLOOKUP(Policies!N98,FeeTable,2,FALSE)</f>
        <v/>
      </c>
      <c r="AL98">
        <f>ROUND(AJ98*AssessRate,2)</f>
        <v/>
      </c>
      <c r="AM98">
        <f>ROUND((AJ98+AK98)*G98,2)</f>
        <v/>
      </c>
      <c r="AN98">
        <f>AJ98+AK98+AL98+AM98</f>
        <v/>
      </c>
      <c r="AO98">
        <f>IF(OR(Policies!G98&gt;1000000,C98&gt;20,Policies!L98&gt;=3),"REFER","OK")</f>
        <v/>
      </c>
      <c r="AP98">
        <f>ROUND(AH98/D98,3)</f>
        <v/>
      </c>
      <c r="AQ98">
        <f>Policies!B98&amp;"-"&amp;LEFT(Policies!C98,1)&amp;TEXT(Policies!D98,"00")</f>
        <v/>
      </c>
    </row>
    <row r="99">
      <c r="A99">
        <f>Policies!A99</f>
        <v/>
      </c>
      <c r="B99">
        <f>IFERROR(DATEDIF(DATE(Policies!E99,1,1),Policies!M99,"y"),0)</f>
        <v/>
      </c>
      <c r="C99">
        <f>Policies!F99*1</f>
        <v/>
      </c>
      <c r="D99">
        <f>Policies!G99/1000</f>
        <v/>
      </c>
      <c r="E99">
        <f>VLOOKUP(Policies!B99,BaseRates,2,FALSE)</f>
        <v/>
      </c>
      <c r="F99">
        <f>VLOOKUP(Policies!B99,BaseRates,3,FALSE)</f>
        <v/>
      </c>
      <c r="G99">
        <f>VLOOKUP(Policies!B99,BaseRates,4,FALSE)</f>
        <v/>
      </c>
      <c r="H99">
        <f>ROUND(E99*D99,2)</f>
        <v/>
      </c>
      <c r="I99">
        <f>INDEX(RateTables!$B$13:$B$16,MATCH(Policies!C99,RateTables!$A$13:$A$16,0))</f>
        <v/>
      </c>
      <c r="J99">
        <f>INDEX(RateTables!$C$13:$C$16,MATCH(Policies!C99,RateTables!$A$13:$A$16,0))</f>
        <v/>
      </c>
      <c r="K99">
        <f>INDEX(RateTables!$B$19:$C$28,MATCH(Policies!D99,RateTables!$A$19:$A$28,0),IF(Policies!C99="Frame",1,2))</f>
        <v/>
      </c>
      <c r="L99">
        <f>VLOOKUP(B99,AgeBands,2,TRUE)</f>
        <v/>
      </c>
      <c r="M99">
        <f>VLOOKUP(C99,RoofBands,2,TRUE)</f>
        <v/>
      </c>
      <c r="N99">
        <f>VLOOKUP(Policies!G99,AOIBands,2,TRUE)</f>
        <v/>
      </c>
      <c r="O99">
        <f>VLOOKUP(Policies!H99,RateTables!$A$31:$B$35,2,TRUE)</f>
        <v/>
      </c>
      <c r="P99">
        <f>VLOOKUP(MIN(Policies!L99,3),ClaimsTable,2,FALSE)</f>
        <v/>
      </c>
      <c r="Q99">
        <f>ROUND(H99*I99*K99*L99*M99*N99*O99*P99,2)</f>
        <v/>
      </c>
      <c r="R99">
        <f>IF(Policies!J99="Y",1,0)</f>
        <v/>
      </c>
      <c r="S99">
        <f>IF(AND(Policies!L99=0,B99&gt;=3),1,0)</f>
        <v/>
      </c>
      <c r="T99">
        <f>IF(B99&lt;=5,1,0)</f>
        <v/>
      </c>
      <c r="U99">
        <f>IF(Policies!K99="Basic",1,0)</f>
        <v/>
      </c>
      <c r="V99">
        <f>IF(Policies!K99="Fortified",1,0)</f>
        <v/>
      </c>
      <c r="W99">
        <f>SUMPRODUCT(R99:V99,CreditPcts)</f>
        <v/>
      </c>
      <c r="X99">
        <f>MIN(W99,CreditCap)</f>
        <v/>
      </c>
      <c r="Y99">
        <f>ROUND(Q99*(1-X99),2)</f>
        <v/>
      </c>
      <c r="Z99">
        <f>IF(Policies!I99="",0.02,Policies!I99)</f>
        <v/>
      </c>
      <c r="AA99">
        <f>IFERROR(VLOOKUP(Z99,HurrDedTable,2,FALSE),1)</f>
        <v/>
      </c>
      <c r="AB99">
        <f>IFERROR(INDEX(RateTables!$L$31:$L$33,MATCH(Policies!K99,RateTables!$K$31:$K$33,0)),1)</f>
        <v/>
      </c>
      <c r="AC99">
        <f>ROUND(F99*D99*J99*AA99*AB99,2)</f>
        <v/>
      </c>
      <c r="AD99">
        <f>MIN(AC99,Policies!G99*HurrCapPct)</f>
        <v/>
      </c>
      <c r="AE99">
        <f>Y99+AD99</f>
        <v/>
      </c>
      <c r="AF99" s="1">
        <f>EDATE(Policies!M99,Policies!N99)</f>
        <v/>
      </c>
      <c r="AG99">
        <f>ROUND(YEARFRAC(Policies!M99,AF99,3),4)</f>
        <v/>
      </c>
      <c r="AH99">
        <f>ROUND(AE99*AG99,2)</f>
        <v/>
      </c>
      <c r="AI99">
        <f>MAX(AH99,MinPremium)</f>
        <v/>
      </c>
      <c r="AJ99">
        <f>ROUNDUP(AI99,0)</f>
        <v/>
      </c>
      <c r="AK99">
        <f>VLOOKUP(Policies!N99,FeeTable,2,FALSE)</f>
        <v/>
      </c>
      <c r="AL99">
        <f>ROUND(AJ99*AssessRate,2)</f>
        <v/>
      </c>
      <c r="AM99">
        <f>ROUND((AJ99+AK99)*G99,2)</f>
        <v/>
      </c>
      <c r="AN99">
        <f>AJ99+AK99+AL99+AM99</f>
        <v/>
      </c>
      <c r="AO99">
        <f>IF(OR(Policies!G99&gt;1000000,C99&gt;20,Policies!L99&gt;=3),"REFER","OK")</f>
        <v/>
      </c>
      <c r="AP99">
        <f>ROUND(AH99/D99,3)</f>
        <v/>
      </c>
      <c r="AQ99">
        <f>Policies!B99&amp;"-"&amp;LEFT(Policies!C99,1)&amp;TEXT(Policies!D99,"00")</f>
        <v/>
      </c>
    </row>
    <row r="100">
      <c r="A100">
        <f>Policies!A100</f>
        <v/>
      </c>
      <c r="B100">
        <f>IFERROR(DATEDIF(DATE(Policies!E100,1,1),Policies!M100,"y"),0)</f>
        <v/>
      </c>
      <c r="C100">
        <f>Policies!F100*1</f>
        <v/>
      </c>
      <c r="D100">
        <f>Policies!G100/1000</f>
        <v/>
      </c>
      <c r="E100">
        <f>VLOOKUP(Policies!B100,BaseRates,2,FALSE)</f>
        <v/>
      </c>
      <c r="F100">
        <f>VLOOKUP(Policies!B100,BaseRates,3,FALSE)</f>
        <v/>
      </c>
      <c r="G100">
        <f>VLOOKUP(Policies!B100,BaseRates,4,FALSE)</f>
        <v/>
      </c>
      <c r="H100">
        <f>ROUND(E100*D100,2)</f>
        <v/>
      </c>
      <c r="I100">
        <f>INDEX(RateTables!$B$13:$B$16,MATCH(Policies!C100,RateTables!$A$13:$A$16,0))</f>
        <v/>
      </c>
      <c r="J100">
        <f>INDEX(RateTables!$C$13:$C$16,MATCH(Policies!C100,RateTables!$A$13:$A$16,0))</f>
        <v/>
      </c>
      <c r="K100">
        <f>INDEX(RateTables!$B$19:$C$28,MATCH(Policies!D100,RateTables!$A$19:$A$28,0),IF(Policies!C100="Frame",1,2))</f>
        <v/>
      </c>
      <c r="L100">
        <f>VLOOKUP(B100,AgeBands,2,TRUE)</f>
        <v/>
      </c>
      <c r="M100">
        <f>VLOOKUP(C100,RoofBands,2,TRUE)</f>
        <v/>
      </c>
      <c r="N100">
        <f>VLOOKUP(Policies!G100,AOIBands,2,TRUE)</f>
        <v/>
      </c>
      <c r="O100">
        <f>VLOOKUP(Policies!H100,RateTables!$A$31:$B$35,2,TRUE)</f>
        <v/>
      </c>
      <c r="P100">
        <f>VLOOKUP(MIN(Policies!L100,3),ClaimsTable,2,FALSE)</f>
        <v/>
      </c>
      <c r="Q100">
        <f>ROUND(H100*I100*K100*L100*M100*N100*O100*P100,2)</f>
        <v/>
      </c>
      <c r="R100">
        <f>IF(Policies!J100="Y",1,0)</f>
        <v/>
      </c>
      <c r="S100">
        <f>IF(AND(Policies!L100=0,B100&gt;=3),1,0)</f>
        <v/>
      </c>
      <c r="T100">
        <f>IF(B100&lt;=5,1,0)</f>
        <v/>
      </c>
      <c r="U100">
        <f>IF(Policies!K100="Basic",1,0)</f>
        <v/>
      </c>
      <c r="V100">
        <f>IF(Policies!K100="Fortified",1,0)</f>
        <v/>
      </c>
      <c r="W100">
        <f>SUMPRODUCT(R100:V100,CreditPcts)</f>
        <v/>
      </c>
      <c r="X100">
        <f>MIN(W100,CreditCap)</f>
        <v/>
      </c>
      <c r="Y100">
        <f>ROUND(Q100*(1-X100),2)</f>
        <v/>
      </c>
      <c r="Z100">
        <f>IF(Policies!I100="",0.02,Policies!I100)</f>
        <v/>
      </c>
      <c r="AA100">
        <f>IFERROR(VLOOKUP(Z100,HurrDedTable,2,FALSE),1)</f>
        <v/>
      </c>
      <c r="AB100">
        <f>IFERROR(INDEX(RateTables!$L$31:$L$33,MATCH(Policies!K100,RateTables!$K$31:$K$33,0)),1)</f>
        <v/>
      </c>
      <c r="AC100">
        <f>ROUND(F100*D100*J100*AA100*AB100,2)</f>
        <v/>
      </c>
      <c r="AD100">
        <f>MIN(AC100,Policies!G100*HurrCapPct)</f>
        <v/>
      </c>
      <c r="AE100">
        <f>Y100+AD100</f>
        <v/>
      </c>
      <c r="AF100" s="1">
        <f>EDATE(Policies!M100,Policies!N100)</f>
        <v/>
      </c>
      <c r="AG100">
        <f>ROUND(YEARFRAC(Policies!M100,AF100,3),4)</f>
        <v/>
      </c>
      <c r="AH100">
        <f>ROUND(AE100*AG100,2)</f>
        <v/>
      </c>
      <c r="AI100">
        <f>MAX(AH100,MinPremium)</f>
        <v/>
      </c>
      <c r="AJ100">
        <f>ROUNDUP(AI100,0)</f>
        <v/>
      </c>
      <c r="AK100">
        <f>VLOOKUP(Policies!N100,FeeTable,2,FALSE)</f>
        <v/>
      </c>
      <c r="AL100">
        <f>ROUND(AJ100*AssessRate,2)</f>
        <v/>
      </c>
      <c r="AM100">
        <f>ROUND((AJ100+AK100)*G100,2)</f>
        <v/>
      </c>
      <c r="AN100">
        <f>AJ100+AK100+AL100+AM100</f>
        <v/>
      </c>
      <c r="AO100">
        <f>IF(OR(Policies!G100&gt;1000000,C100&gt;20,Policies!L100&gt;=3),"REFER","OK")</f>
        <v/>
      </c>
      <c r="AP100">
        <f>ROUND(AH100/D100,3)</f>
        <v/>
      </c>
      <c r="AQ100">
        <f>Policies!B100&amp;"-"&amp;LEFT(Policies!C100,1)&amp;TEXT(Policies!D100,"00")</f>
        <v/>
      </c>
    </row>
    <row r="101">
      <c r="A101">
        <f>Policies!A101</f>
        <v/>
      </c>
      <c r="B101">
        <f>IFERROR(DATEDIF(DATE(Policies!E101,1,1),Policies!M101,"y"),0)</f>
        <v/>
      </c>
      <c r="C101">
        <f>Policies!F101*1</f>
        <v/>
      </c>
      <c r="D101">
        <f>Policies!G101/1000</f>
        <v/>
      </c>
      <c r="E101">
        <f>VLOOKUP(Policies!B101,BaseRates,2,FALSE)</f>
        <v/>
      </c>
      <c r="F101">
        <f>VLOOKUP(Policies!B101,BaseRates,3,FALSE)</f>
        <v/>
      </c>
      <c r="G101">
        <f>VLOOKUP(Policies!B101,BaseRates,4,FALSE)</f>
        <v/>
      </c>
      <c r="H101">
        <f>ROUND(E101*D101,2)</f>
        <v/>
      </c>
      <c r="I101">
        <f>INDEX(RateTables!$B$13:$B$16,MATCH(Policies!C101,RateTables!$A$13:$A$16,0))</f>
        <v/>
      </c>
      <c r="J101">
        <f>INDEX(RateTables!$C$13:$C$16,MATCH(Policies!C101,RateTables!$A$13:$A$16,0))</f>
        <v/>
      </c>
      <c r="K101">
        <f>INDEX(RateTables!$B$19:$C$28,MATCH(Policies!D101,RateTables!$A$19:$A$28,0),IF(Policies!C101="Frame",1,2))</f>
        <v/>
      </c>
      <c r="L101">
        <f>VLOOKUP(B101,AgeBands,2,TRUE)</f>
        <v/>
      </c>
      <c r="M101">
        <f>VLOOKUP(C101,RoofBands,2,TRUE)</f>
        <v/>
      </c>
      <c r="N101">
        <f>VLOOKUP(Policies!G101,AOIBands,2,TRUE)</f>
        <v/>
      </c>
      <c r="O101">
        <f>VLOOKUP(Policies!H101,RateTables!$A$31:$B$35,2,TRUE)</f>
        <v/>
      </c>
      <c r="P101">
        <f>VLOOKUP(MIN(Policies!L101,3),ClaimsTable,2,FALSE)</f>
        <v/>
      </c>
      <c r="Q101">
        <f>ROUND(H101*I101*K101*L101*M101*N101*O101*P101,2)</f>
        <v/>
      </c>
      <c r="R101">
        <f>IF(Policies!J101="Y",1,0)</f>
        <v/>
      </c>
      <c r="S101">
        <f>IF(AND(Policies!L101=0,B101&gt;=3),1,0)</f>
        <v/>
      </c>
      <c r="T101">
        <f>IF(B101&lt;=5,1,0)</f>
        <v/>
      </c>
      <c r="U101">
        <f>IF(Policies!K101="Basic",1,0)</f>
        <v/>
      </c>
      <c r="V101">
        <f>IF(Policies!K101="Fortified",1,0)</f>
        <v/>
      </c>
      <c r="W101">
        <f>SUMPRODUCT(R101:V101,CreditPcts)</f>
        <v/>
      </c>
      <c r="X101">
        <f>MIN(W101,CreditCap)</f>
        <v/>
      </c>
      <c r="Y101">
        <f>ROUND(Q101*(1-X101),2)</f>
        <v/>
      </c>
      <c r="Z101">
        <f>IF(Policies!I101="",0.02,Policies!I101)</f>
        <v/>
      </c>
      <c r="AA101">
        <f>IFERROR(VLOOKUP(Z101,HurrDedTable,2,FALSE),1)</f>
        <v/>
      </c>
      <c r="AB101">
        <f>IFERROR(INDEX(RateTables!$L$31:$L$33,MATCH(Policies!K101,RateTables!$K$31:$K$33,0)),1)</f>
        <v/>
      </c>
      <c r="AC101">
        <f>ROUND(F101*D101*J101*AA101*AB101,2)</f>
        <v/>
      </c>
      <c r="AD101">
        <f>MIN(AC101,Policies!G101*HurrCapPct)</f>
        <v/>
      </c>
      <c r="AE101">
        <f>Y101+AD101</f>
        <v/>
      </c>
      <c r="AF101" s="1">
        <f>EDATE(Policies!M101,Policies!N101)</f>
        <v/>
      </c>
      <c r="AG101">
        <f>ROUND(YEARFRAC(Policies!M101,AF101,3),4)</f>
        <v/>
      </c>
      <c r="AH101">
        <f>ROUND(AE101*AG101,2)</f>
        <v/>
      </c>
      <c r="AI101">
        <f>MAX(AH101,MinPremium)</f>
        <v/>
      </c>
      <c r="AJ101">
        <f>ROUNDUP(AI101,0)</f>
        <v/>
      </c>
      <c r="AK101">
        <f>VLOOKUP(Policies!N101,FeeTable,2,FALSE)</f>
        <v/>
      </c>
      <c r="AL101">
        <f>ROUND(AJ101*AssessRate,2)</f>
        <v/>
      </c>
      <c r="AM101">
        <f>ROUND((AJ101+AK101)*G101,2)</f>
        <v/>
      </c>
      <c r="AN101">
        <f>AJ101+AK101+AL101+AM101</f>
        <v/>
      </c>
      <c r="AO101">
        <f>IF(OR(Policies!G101&gt;1000000,C101&gt;20,Policies!L101&gt;=3),"REFER","OK")</f>
        <v/>
      </c>
      <c r="AP101">
        <f>ROUND(AH101/D101,3)</f>
        <v/>
      </c>
      <c r="AQ101">
        <f>Policies!B101&amp;"-"&amp;LEFT(Policies!C101,1)&amp;TEXT(Policies!D101,"00")</f>
        <v/>
      </c>
    </row>
    <row r="102">
      <c r="A102">
        <f>Policies!A102</f>
        <v/>
      </c>
      <c r="B102">
        <f>IFERROR(DATEDIF(DATE(Policies!E102,1,1),Policies!M102,"y"),0)</f>
        <v/>
      </c>
      <c r="C102">
        <f>Policies!F102*1</f>
        <v/>
      </c>
      <c r="D102">
        <f>Policies!G102/1000</f>
        <v/>
      </c>
      <c r="E102">
        <f>VLOOKUP(Policies!B102,BaseRates,2,FALSE)</f>
        <v/>
      </c>
      <c r="F102">
        <f>VLOOKUP(Policies!B102,BaseRates,3,FALSE)</f>
        <v/>
      </c>
      <c r="G102">
        <f>VLOOKUP(Policies!B102,BaseRates,4,FALSE)</f>
        <v/>
      </c>
      <c r="H102">
        <f>ROUND(E102*D102,2)</f>
        <v/>
      </c>
      <c r="I102">
        <f>INDEX(RateTables!$B$13:$B$16,MATCH(Policies!C102,RateTables!$A$13:$A$16,0))</f>
        <v/>
      </c>
      <c r="J102">
        <f>INDEX(RateTables!$C$13:$C$16,MATCH(Policies!C102,RateTables!$A$13:$A$16,0))</f>
        <v/>
      </c>
      <c r="K102">
        <f>INDEX(RateTables!$B$19:$C$28,MATCH(Policies!D102,RateTables!$A$19:$A$28,0),IF(Policies!C102="Frame",1,2))</f>
        <v/>
      </c>
      <c r="L102">
        <f>VLOOKUP(B102,AgeBands,2,TRUE)</f>
        <v/>
      </c>
      <c r="M102">
        <f>VLOOKUP(C102,RoofBands,2,TRUE)</f>
        <v/>
      </c>
      <c r="N102">
        <f>VLOOKUP(Policies!G102,AOIBands,2,TRUE)</f>
        <v/>
      </c>
      <c r="O102">
        <f>VLOOKUP(Policies!H102,RateTables!$A$31:$B$35,2,TRUE)</f>
        <v/>
      </c>
      <c r="P102">
        <f>VLOOKUP(MIN(Policies!L102,3),ClaimsTable,2,FALSE)</f>
        <v/>
      </c>
      <c r="Q102">
        <f>ROUND(H102*I102*K102*L102*M102*N102*O102*P102,2)</f>
        <v/>
      </c>
      <c r="R102">
        <f>IF(Policies!J102="Y",1,0)</f>
        <v/>
      </c>
      <c r="S102">
        <f>IF(AND(Policies!L102=0,B102&gt;=3),1,0)</f>
        <v/>
      </c>
      <c r="T102">
        <f>IF(B102&lt;=5,1,0)</f>
        <v/>
      </c>
      <c r="U102">
        <f>IF(Policies!K102="Basic",1,0)</f>
        <v/>
      </c>
      <c r="V102">
        <f>IF(Policies!K102="Fortified",1,0)</f>
        <v/>
      </c>
      <c r="W102">
        <f>SUMPRODUCT(R102:V102,CreditPcts)</f>
        <v/>
      </c>
      <c r="X102">
        <f>MIN(W102,CreditCap)</f>
        <v/>
      </c>
      <c r="Y102">
        <f>ROUND(Q102*(1-X102),2)</f>
        <v/>
      </c>
      <c r="Z102">
        <f>IF(Policies!I102="",0.02,Policies!I102)</f>
        <v/>
      </c>
      <c r="AA102">
        <f>IFERROR(VLOOKUP(Z102,HurrDedTable,2,FALSE),1)</f>
        <v/>
      </c>
      <c r="AB102">
        <f>IFERROR(INDEX(RateTables!$L$31:$L$33,MATCH(Policies!K102,RateTables!$K$31:$K$33,0)),1)</f>
        <v/>
      </c>
      <c r="AC102">
        <f>ROUND(F102*D102*J102*AA102*AB102,2)</f>
        <v/>
      </c>
      <c r="AD102">
        <f>MIN(AC102,Policies!G102*HurrCapPct)</f>
        <v/>
      </c>
      <c r="AE102">
        <f>Y102+AD102</f>
        <v/>
      </c>
      <c r="AF102" s="1">
        <f>EDATE(Policies!M102,Policies!N102)</f>
        <v/>
      </c>
      <c r="AG102">
        <f>ROUND(YEARFRAC(Policies!M102,AF102,3),4)</f>
        <v/>
      </c>
      <c r="AH102">
        <f>ROUND(AE102*AG102,2)</f>
        <v/>
      </c>
      <c r="AI102">
        <f>MAX(AH102,MinPremium)</f>
        <v/>
      </c>
      <c r="AJ102">
        <f>ROUNDUP(AI102,0)</f>
        <v/>
      </c>
      <c r="AK102">
        <f>VLOOKUP(Policies!N102,FeeTable,2,FALSE)</f>
        <v/>
      </c>
      <c r="AL102">
        <f>ROUND(AJ102*AssessRate,2)</f>
        <v/>
      </c>
      <c r="AM102">
        <f>ROUND((AJ102+AK102)*G102,2)</f>
        <v/>
      </c>
      <c r="AN102">
        <f>AJ102+AK102+AL102+AM102</f>
        <v/>
      </c>
      <c r="AO102">
        <f>IF(OR(Policies!G102&gt;1000000,C102&gt;20,Policies!L102&gt;=3),"REFER","OK")</f>
        <v/>
      </c>
      <c r="AP102">
        <f>ROUND(AH102/D102,3)</f>
        <v/>
      </c>
      <c r="AQ102">
        <f>Policies!B102&amp;"-"&amp;LEFT(Policies!C102,1)&amp;TEXT(Policies!D102,"00")</f>
        <v/>
      </c>
    </row>
    <row r="103">
      <c r="A103">
        <f>Policies!A103</f>
        <v/>
      </c>
      <c r="B103">
        <f>IFERROR(DATEDIF(DATE(Policies!E103,1,1),Policies!M103,"y"),0)</f>
        <v/>
      </c>
      <c r="C103">
        <f>Policies!F103*1</f>
        <v/>
      </c>
      <c r="D103">
        <f>Policies!G103/1000</f>
        <v/>
      </c>
      <c r="E103">
        <f>VLOOKUP(Policies!B103,BaseRates,2,FALSE)</f>
        <v/>
      </c>
      <c r="F103">
        <f>VLOOKUP(Policies!B103,BaseRates,3,FALSE)</f>
        <v/>
      </c>
      <c r="G103">
        <f>VLOOKUP(Policies!B103,BaseRates,4,FALSE)</f>
        <v/>
      </c>
      <c r="H103">
        <f>ROUND(E103*D103,2)</f>
        <v/>
      </c>
      <c r="I103">
        <f>INDEX(RateTables!$B$13:$B$16,MATCH(Policies!C103,RateTables!$A$13:$A$16,0))</f>
        <v/>
      </c>
      <c r="J103">
        <f>INDEX(RateTables!$C$13:$C$16,MATCH(Policies!C103,RateTables!$A$13:$A$16,0))</f>
        <v/>
      </c>
      <c r="K103">
        <f>INDEX(RateTables!$B$19:$C$28,MATCH(Policies!D103,RateTables!$A$19:$A$28,0),IF(Policies!C103="Frame",1,2))</f>
        <v/>
      </c>
      <c r="L103">
        <f>VLOOKUP(B103,AgeBands,2,TRUE)</f>
        <v/>
      </c>
      <c r="M103">
        <f>VLOOKUP(C103,RoofBands,2,TRUE)</f>
        <v/>
      </c>
      <c r="N103">
        <f>VLOOKUP(Policies!G103,AOIBands,2,TRUE)</f>
        <v/>
      </c>
      <c r="O103">
        <f>VLOOKUP(Policies!H103,RateTables!$A$31:$B$35,2,TRUE)</f>
        <v/>
      </c>
      <c r="P103">
        <f>VLOOKUP(MIN(Policies!L103,3),ClaimsTable,2,FALSE)</f>
        <v/>
      </c>
      <c r="Q103">
        <f>ROUND(H103*I103*K103*L103*M103*N103*O103*P103,2)</f>
        <v/>
      </c>
      <c r="R103">
        <f>IF(Policies!J103="Y",1,0)</f>
        <v/>
      </c>
      <c r="S103">
        <f>IF(AND(Policies!L103=0,B103&gt;=3),1,0)</f>
        <v/>
      </c>
      <c r="T103">
        <f>IF(B103&lt;=5,1,0)</f>
        <v/>
      </c>
      <c r="U103">
        <f>IF(Policies!K103="Basic",1,0)</f>
        <v/>
      </c>
      <c r="V103">
        <f>IF(Policies!K103="Fortified",1,0)</f>
        <v/>
      </c>
      <c r="W103">
        <f>SUMPRODUCT(R103:V103,CreditPcts)</f>
        <v/>
      </c>
      <c r="X103">
        <f>MIN(W103,CreditCap)</f>
        <v/>
      </c>
      <c r="Y103">
        <f>ROUND(Q103*(1-X103),2)</f>
        <v/>
      </c>
      <c r="Z103">
        <f>IF(Policies!I103="",0.02,Policies!I103)</f>
        <v/>
      </c>
      <c r="AA103">
        <f>IFERROR(VLOOKUP(Z103,HurrDedTable,2,FALSE),1)</f>
        <v/>
      </c>
      <c r="AB103">
        <f>IFERROR(INDEX(RateTables!$L$31:$L$33,MATCH(Policies!K103,RateTables!$K$31:$K$33,0)),1)</f>
        <v/>
      </c>
      <c r="AC103">
        <f>ROUND(F103*D103*J103*AA103*AB103,2)</f>
        <v/>
      </c>
      <c r="AD103">
        <f>MIN(AC103,Policies!G103*HurrCapPct)</f>
        <v/>
      </c>
      <c r="AE103">
        <f>Y103+AD103</f>
        <v/>
      </c>
      <c r="AF103" s="1">
        <f>EDATE(Policies!M103,Policies!N103)</f>
        <v/>
      </c>
      <c r="AG103">
        <f>ROUND(YEARFRAC(Policies!M103,AF103,3),4)</f>
        <v/>
      </c>
      <c r="AH103">
        <f>ROUND(AE103*AG103,2)</f>
        <v/>
      </c>
      <c r="AI103">
        <f>MAX(AH103,MinPremium)</f>
        <v/>
      </c>
      <c r="AJ103">
        <f>ROUNDUP(AI103,0)</f>
        <v/>
      </c>
      <c r="AK103">
        <f>VLOOKUP(Policies!N103,FeeTable,2,FALSE)</f>
        <v/>
      </c>
      <c r="AL103">
        <f>ROUND(AJ103*AssessRate,2)</f>
        <v/>
      </c>
      <c r="AM103">
        <f>ROUND((AJ103+AK103)*G103,2)</f>
        <v/>
      </c>
      <c r="AN103">
        <f>AJ103+AK103+AL103+AM103</f>
        <v/>
      </c>
      <c r="AO103">
        <f>IF(OR(Policies!G103&gt;1000000,C103&gt;20,Policies!L103&gt;=3),"REFER","OK")</f>
        <v/>
      </c>
      <c r="AP103">
        <f>ROUND(AH103/D103,3)</f>
        <v/>
      </c>
      <c r="AQ103">
        <f>Policies!B103&amp;"-"&amp;LEFT(Policies!C103,1)&amp;TEXT(Policies!D103,"00")</f>
        <v/>
      </c>
    </row>
    <row r="104">
      <c r="A104">
        <f>Policies!A104</f>
        <v/>
      </c>
      <c r="B104">
        <f>IFERROR(DATEDIF(DATE(Policies!E104,1,1),Policies!M104,"y"),0)</f>
        <v/>
      </c>
      <c r="C104">
        <f>Policies!F104*1</f>
        <v/>
      </c>
      <c r="D104">
        <f>Policies!G104/1000</f>
        <v/>
      </c>
      <c r="E104">
        <f>VLOOKUP(Policies!B104,BaseRates,2,FALSE)</f>
        <v/>
      </c>
      <c r="F104">
        <f>VLOOKUP(Policies!B104,BaseRates,3,FALSE)</f>
        <v/>
      </c>
      <c r="G104">
        <f>VLOOKUP(Policies!B104,BaseRates,4,FALSE)</f>
        <v/>
      </c>
      <c r="H104">
        <f>ROUND(E104*D104,2)</f>
        <v/>
      </c>
      <c r="I104">
        <f>INDEX(RateTables!$B$13:$B$16,MATCH(Policies!C104,RateTables!$A$13:$A$16,0))</f>
        <v/>
      </c>
      <c r="J104">
        <f>INDEX(RateTables!$C$13:$C$16,MATCH(Policies!C104,RateTables!$A$13:$A$16,0))</f>
        <v/>
      </c>
      <c r="K104">
        <f>INDEX(RateTables!$B$19:$C$28,MATCH(Policies!D104,RateTables!$A$19:$A$28,0),IF(Policies!C104="Frame",1,2))</f>
        <v/>
      </c>
      <c r="L104">
        <f>VLOOKUP(B104,AgeBands,2,TRUE)</f>
        <v/>
      </c>
      <c r="M104">
        <f>VLOOKUP(C104,RoofBands,2,TRUE)</f>
        <v/>
      </c>
      <c r="N104">
        <f>VLOOKUP(Policies!G104,AOIBands,2,TRUE)</f>
        <v/>
      </c>
      <c r="O104">
        <f>VLOOKUP(Policies!H104,RateTables!$A$31:$B$35,2,TRUE)</f>
        <v/>
      </c>
      <c r="P104">
        <f>VLOOKUP(MIN(Policies!L104,3),ClaimsTable,2,FALSE)</f>
        <v/>
      </c>
      <c r="Q104">
        <f>ROUND(H104*I104*K104*L104*M104*N104*O104*P104,2)</f>
        <v/>
      </c>
      <c r="R104">
        <f>IF(Policies!J104="Y",1,0)</f>
        <v/>
      </c>
      <c r="S104">
        <f>IF(AND(Policies!L104=0,B104&gt;=3),1,0)</f>
        <v/>
      </c>
      <c r="T104">
        <f>IF(B104&lt;=5,1,0)</f>
        <v/>
      </c>
      <c r="U104">
        <f>IF(Policies!K104="Basic",1,0)</f>
        <v/>
      </c>
      <c r="V104">
        <f>IF(Policies!K104="Fortified",1,0)</f>
        <v/>
      </c>
      <c r="W104">
        <f>SUMPRODUCT(R104:V104,CreditPcts)</f>
        <v/>
      </c>
      <c r="X104">
        <f>MIN(W104,CreditCap)</f>
        <v/>
      </c>
      <c r="Y104">
        <f>ROUND(Q104*(1-X104),2)</f>
        <v/>
      </c>
      <c r="Z104">
        <f>IF(Policies!I104="",0.02,Policies!I104)</f>
        <v/>
      </c>
      <c r="AA104">
        <f>IFERROR(VLOOKUP(Z104,HurrDedTable,2,FALSE),1)</f>
        <v/>
      </c>
      <c r="AB104">
        <f>IFERROR(INDEX(RateTables!$L$31:$L$33,MATCH(Policies!K104,RateTables!$K$31:$K$33,0)),1)</f>
        <v/>
      </c>
      <c r="AC104">
        <f>ROUND(F104*D104*J104*AA104*AB104,2)</f>
        <v/>
      </c>
      <c r="AD104">
        <f>MIN(AC104,Policies!G104*HurrCapPct)</f>
        <v/>
      </c>
      <c r="AE104">
        <f>Y104+AD104</f>
        <v/>
      </c>
      <c r="AF104" s="1">
        <f>EDATE(Policies!M104,Policies!N104)</f>
        <v/>
      </c>
      <c r="AG104">
        <f>ROUND(YEARFRAC(Policies!M104,AF104,3),4)</f>
        <v/>
      </c>
      <c r="AH104">
        <f>ROUND(AE104*AG104,2)</f>
        <v/>
      </c>
      <c r="AI104">
        <f>MAX(AH104,MinPremium)</f>
        <v/>
      </c>
      <c r="AJ104">
        <f>ROUNDUP(AI104,0)</f>
        <v/>
      </c>
      <c r="AK104">
        <f>VLOOKUP(Policies!N104,FeeTable,2,FALSE)</f>
        <v/>
      </c>
      <c r="AL104">
        <f>ROUND(AJ104*AssessRate,2)</f>
        <v/>
      </c>
      <c r="AM104">
        <f>ROUND((AJ104+AK104)*G104,2)</f>
        <v/>
      </c>
      <c r="AN104">
        <f>AJ104+AK104+AL104+AM104</f>
        <v/>
      </c>
      <c r="AO104">
        <f>IF(OR(Policies!G104&gt;1000000,C104&gt;20,Policies!L104&gt;=3),"REFER","OK")</f>
        <v/>
      </c>
      <c r="AP104">
        <f>ROUND(AH104/D104,3)</f>
        <v/>
      </c>
      <c r="AQ104">
        <f>Policies!B104&amp;"-"&amp;LEFT(Policies!C104,1)&amp;TEXT(Policies!D104,"00")</f>
        <v/>
      </c>
    </row>
    <row r="105">
      <c r="A105">
        <f>Policies!A105</f>
        <v/>
      </c>
      <c r="B105">
        <f>IFERROR(DATEDIF(DATE(Policies!E105,1,1),Policies!M105,"y"),0)</f>
        <v/>
      </c>
      <c r="C105">
        <f>Policies!F105*1</f>
        <v/>
      </c>
      <c r="D105">
        <f>Policies!G105/1000</f>
        <v/>
      </c>
      <c r="E105">
        <f>VLOOKUP(Policies!B105,BaseRates,2,FALSE)</f>
        <v/>
      </c>
      <c r="F105">
        <f>VLOOKUP(Policies!B105,BaseRates,3,FALSE)</f>
        <v/>
      </c>
      <c r="G105">
        <f>VLOOKUP(Policies!B105,BaseRates,4,FALSE)</f>
        <v/>
      </c>
      <c r="H105">
        <f>ROUND(E105*D105,2)</f>
        <v/>
      </c>
      <c r="I105">
        <f>INDEX(RateTables!$B$13:$B$16,MATCH(Policies!C105,RateTables!$A$13:$A$16,0))</f>
        <v/>
      </c>
      <c r="J105">
        <f>INDEX(RateTables!$C$13:$C$16,MATCH(Policies!C105,RateTables!$A$13:$A$16,0))</f>
        <v/>
      </c>
      <c r="K105">
        <f>INDEX(RateTables!$B$19:$C$28,MATCH(Policies!D105,RateTables!$A$19:$A$28,0),IF(Policies!C105="Frame",1,2))</f>
        <v/>
      </c>
      <c r="L105">
        <f>VLOOKUP(B105,AgeBands,2,TRUE)</f>
        <v/>
      </c>
      <c r="M105">
        <f>VLOOKUP(C105,RoofBands,2,TRUE)</f>
        <v/>
      </c>
      <c r="N105">
        <f>VLOOKUP(Policies!G105,AOIBands,2,TRUE)</f>
        <v/>
      </c>
      <c r="O105">
        <f>VLOOKUP(Policies!H105,RateTables!$A$31:$B$35,2,TRUE)</f>
        <v/>
      </c>
      <c r="P105">
        <f>VLOOKUP(MIN(Policies!L105,3),ClaimsTable,2,FALSE)</f>
        <v/>
      </c>
      <c r="Q105">
        <f>ROUND(H105*I105*K105*L105*M105*N105*O105*P105,2)</f>
        <v/>
      </c>
      <c r="R105">
        <f>IF(Policies!J105="Y",1,0)</f>
        <v/>
      </c>
      <c r="S105">
        <f>IF(AND(Policies!L105=0,B105&gt;=3),1,0)</f>
        <v/>
      </c>
      <c r="T105">
        <f>IF(B105&lt;=5,1,0)</f>
        <v/>
      </c>
      <c r="U105">
        <f>IF(Policies!K105="Basic",1,0)</f>
        <v/>
      </c>
      <c r="V105">
        <f>IF(Policies!K105="Fortified",1,0)</f>
        <v/>
      </c>
      <c r="W105">
        <f>SUMPRODUCT(R105:V105,CreditPcts)</f>
        <v/>
      </c>
      <c r="X105">
        <f>MIN(W105,CreditCap)</f>
        <v/>
      </c>
      <c r="Y105">
        <f>ROUND(Q105*(1-X105),2)</f>
        <v/>
      </c>
      <c r="Z105">
        <f>IF(Policies!I105="",0.02,Policies!I105)</f>
        <v/>
      </c>
      <c r="AA105">
        <f>IFERROR(VLOOKUP(Z105,HurrDedTable,2,FALSE),1)</f>
        <v/>
      </c>
      <c r="AB105">
        <f>IFERROR(INDEX(RateTables!$L$31:$L$33,MATCH(Policies!K105,RateTables!$K$31:$K$33,0)),1)</f>
        <v/>
      </c>
      <c r="AC105">
        <f>ROUND(F105*D105*J105*AA105*AB105,2)</f>
        <v/>
      </c>
      <c r="AD105">
        <f>MIN(AC105,Policies!G105*HurrCapPct)</f>
        <v/>
      </c>
      <c r="AE105">
        <f>Y105+AD105</f>
        <v/>
      </c>
      <c r="AF105" s="1">
        <f>EDATE(Policies!M105,Policies!N105)</f>
        <v/>
      </c>
      <c r="AG105">
        <f>ROUND(YEARFRAC(Policies!M105,AF105,3),4)</f>
        <v/>
      </c>
      <c r="AH105">
        <f>ROUND(AE105*AG105,2)</f>
        <v/>
      </c>
      <c r="AI105">
        <f>MAX(AH105,MinPremium)</f>
        <v/>
      </c>
      <c r="AJ105">
        <f>ROUNDUP(AI105,0)</f>
        <v/>
      </c>
      <c r="AK105">
        <f>VLOOKUP(Policies!N105,FeeTable,2,FALSE)</f>
        <v/>
      </c>
      <c r="AL105">
        <f>ROUND(AJ105*AssessRate,2)</f>
        <v/>
      </c>
      <c r="AM105">
        <f>ROUND((AJ105+AK105)*G105,2)</f>
        <v/>
      </c>
      <c r="AN105">
        <f>AJ105+AK105+AL105+AM105</f>
        <v/>
      </c>
      <c r="AO105">
        <f>IF(OR(Policies!G105&gt;1000000,C105&gt;20,Policies!L105&gt;=3),"REFER","OK")</f>
        <v/>
      </c>
      <c r="AP105">
        <f>ROUND(AH105/D105,3)</f>
        <v/>
      </c>
      <c r="AQ105">
        <f>Policies!B105&amp;"-"&amp;LEFT(Policies!C105,1)&amp;TEXT(Policies!D105,"00")</f>
        <v/>
      </c>
    </row>
    <row r="106">
      <c r="A106">
        <f>Policies!A106</f>
        <v/>
      </c>
      <c r="B106">
        <f>IFERROR(DATEDIF(DATE(Policies!E106,1,1),Policies!M106,"y"),0)</f>
        <v/>
      </c>
      <c r="C106">
        <f>Policies!F106*1</f>
        <v/>
      </c>
      <c r="D106">
        <f>Policies!G106/1000</f>
        <v/>
      </c>
      <c r="E106">
        <f>VLOOKUP(Policies!B106,BaseRates,2,FALSE)</f>
        <v/>
      </c>
      <c r="F106">
        <f>VLOOKUP(Policies!B106,BaseRates,3,FALSE)</f>
        <v/>
      </c>
      <c r="G106">
        <f>VLOOKUP(Policies!B106,BaseRates,4,FALSE)</f>
        <v/>
      </c>
      <c r="H106">
        <f>ROUND(E106*D106,2)</f>
        <v/>
      </c>
      <c r="I106">
        <f>INDEX(RateTables!$B$13:$B$16,MATCH(Policies!C106,RateTables!$A$13:$A$16,0))</f>
        <v/>
      </c>
      <c r="J106">
        <f>INDEX(RateTables!$C$13:$C$16,MATCH(Policies!C106,RateTables!$A$13:$A$16,0))</f>
        <v/>
      </c>
      <c r="K106">
        <f>INDEX(RateTables!$B$19:$C$28,MATCH(Policies!D106,RateTables!$A$19:$A$28,0),IF(Policies!C106="Frame",1,2))</f>
        <v/>
      </c>
      <c r="L106">
        <f>VLOOKUP(B106,AgeBands,2,TRUE)</f>
        <v/>
      </c>
      <c r="M106">
        <f>VLOOKUP(C106,RoofBands,2,TRUE)</f>
        <v/>
      </c>
      <c r="N106">
        <f>VLOOKUP(Policies!G106,AOIBands,2,TRUE)</f>
        <v/>
      </c>
      <c r="O106">
        <f>VLOOKUP(Policies!H106,RateTables!$A$31:$B$35,2,TRUE)</f>
        <v/>
      </c>
      <c r="P106">
        <f>VLOOKUP(MIN(Policies!L106,3),ClaimsTable,2,FALSE)</f>
        <v/>
      </c>
      <c r="Q106">
        <f>ROUND(H106*I106*K106*L106*M106*N106*O106*P106,2)</f>
        <v/>
      </c>
      <c r="R106">
        <f>IF(Policies!J106="Y",1,0)</f>
        <v/>
      </c>
      <c r="S106">
        <f>IF(AND(Policies!L106=0,B106&gt;=3),1,0)</f>
        <v/>
      </c>
      <c r="T106">
        <f>IF(B106&lt;=5,1,0)</f>
        <v/>
      </c>
      <c r="U106">
        <f>IF(Policies!K106="Basic",1,0)</f>
        <v/>
      </c>
      <c r="V106">
        <f>IF(Policies!K106="Fortified",1,0)</f>
        <v/>
      </c>
      <c r="W106">
        <f>SUMPRODUCT(R106:V106,CreditPcts)</f>
        <v/>
      </c>
      <c r="X106">
        <f>MIN(W106,CreditCap)</f>
        <v/>
      </c>
      <c r="Y106">
        <f>ROUND(Q106*(1-X106),2)</f>
        <v/>
      </c>
      <c r="Z106">
        <f>IF(Policies!I106="",0.02,Policies!I106)</f>
        <v/>
      </c>
      <c r="AA106">
        <f>IFERROR(VLOOKUP(Z106,HurrDedTable,2,FALSE),1)</f>
        <v/>
      </c>
      <c r="AB106">
        <f>IFERROR(INDEX(RateTables!$L$31:$L$33,MATCH(Policies!K106,RateTables!$K$31:$K$33,0)),1)</f>
        <v/>
      </c>
      <c r="AC106">
        <f>ROUND(F106*D106*J106*AA106*AB106,2)</f>
        <v/>
      </c>
      <c r="AD106">
        <f>MIN(AC106,Policies!G106*HurrCapPct)</f>
        <v/>
      </c>
      <c r="AE106">
        <f>Y106+AD106</f>
        <v/>
      </c>
      <c r="AF106" s="1">
        <f>EDATE(Policies!M106,Policies!N106)</f>
        <v/>
      </c>
      <c r="AG106">
        <f>ROUND(YEARFRAC(Policies!M106,AF106,3),4)</f>
        <v/>
      </c>
      <c r="AH106">
        <f>ROUND(AE106*AG106,2)</f>
        <v/>
      </c>
      <c r="AI106">
        <f>MAX(AH106,MinPremium)</f>
        <v/>
      </c>
      <c r="AJ106">
        <f>ROUNDUP(AI106,0)</f>
        <v/>
      </c>
      <c r="AK106">
        <f>VLOOKUP(Policies!N106,FeeTable,2,FALSE)</f>
        <v/>
      </c>
      <c r="AL106">
        <f>ROUND(AJ106*AssessRate,2)</f>
        <v/>
      </c>
      <c r="AM106">
        <f>ROUND((AJ106+AK106)*G106,2)</f>
        <v/>
      </c>
      <c r="AN106">
        <f>AJ106+AK106+AL106+AM106</f>
        <v/>
      </c>
      <c r="AO106">
        <f>IF(OR(Policies!G106&gt;1000000,C106&gt;20,Policies!L106&gt;=3),"REFER","OK")</f>
        <v/>
      </c>
      <c r="AP106">
        <f>ROUND(AH106/D106,3)</f>
        <v/>
      </c>
      <c r="AQ106">
        <f>Policies!B106&amp;"-"&amp;LEFT(Policies!C106,1)&amp;TEXT(Policies!D106,"00")</f>
        <v/>
      </c>
    </row>
    <row r="107">
      <c r="A107">
        <f>Policies!A107</f>
        <v/>
      </c>
      <c r="B107">
        <f>IFERROR(DATEDIF(DATE(Policies!E107,1,1),Policies!M107,"y"),0)</f>
        <v/>
      </c>
      <c r="C107">
        <f>Policies!F107*1</f>
        <v/>
      </c>
      <c r="D107">
        <f>Policies!G107/1000</f>
        <v/>
      </c>
      <c r="E107">
        <f>VLOOKUP(Policies!B107,BaseRates,2,FALSE)</f>
        <v/>
      </c>
      <c r="F107">
        <f>VLOOKUP(Policies!B107,BaseRates,3,FALSE)</f>
        <v/>
      </c>
      <c r="G107">
        <f>VLOOKUP(Policies!B107,BaseRates,4,FALSE)</f>
        <v/>
      </c>
      <c r="H107">
        <f>ROUND(E107*D107,2)</f>
        <v/>
      </c>
      <c r="I107">
        <f>INDEX(RateTables!$B$13:$B$16,MATCH(Policies!C107,RateTables!$A$13:$A$16,0))</f>
        <v/>
      </c>
      <c r="J107">
        <f>INDEX(RateTables!$C$13:$C$16,MATCH(Policies!C107,RateTables!$A$13:$A$16,0))</f>
        <v/>
      </c>
      <c r="K107">
        <f>INDEX(RateTables!$B$19:$C$28,MATCH(Policies!D107,RateTables!$A$19:$A$28,0),IF(Policies!C107="Frame",1,2))</f>
        <v/>
      </c>
      <c r="L107">
        <f>VLOOKUP(B107,AgeBands,2,TRUE)</f>
        <v/>
      </c>
      <c r="M107">
        <f>VLOOKUP(C107,RoofBands,2,TRUE)</f>
        <v/>
      </c>
      <c r="N107">
        <f>VLOOKUP(Policies!G107,AOIBands,2,TRUE)</f>
        <v/>
      </c>
      <c r="O107">
        <f>VLOOKUP(Policies!H107,RateTables!$A$31:$B$35,2,TRUE)</f>
        <v/>
      </c>
      <c r="P107">
        <f>VLOOKUP(MIN(Policies!L107,3),ClaimsTable,2,FALSE)</f>
        <v/>
      </c>
      <c r="Q107">
        <f>ROUND(H107*I107*K107*L107*M107*N107*O107*P107,2)</f>
        <v/>
      </c>
      <c r="R107">
        <f>IF(Policies!J107="Y",1,0)</f>
        <v/>
      </c>
      <c r="S107">
        <f>IF(AND(Policies!L107=0,B107&gt;=3),1,0)</f>
        <v/>
      </c>
      <c r="T107">
        <f>IF(B107&lt;=5,1,0)</f>
        <v/>
      </c>
      <c r="U107">
        <f>IF(Policies!K107="Basic",1,0)</f>
        <v/>
      </c>
      <c r="V107">
        <f>IF(Policies!K107="Fortified",1,0)</f>
        <v/>
      </c>
      <c r="W107">
        <f>SUMPRODUCT(R107:V107,CreditPcts)</f>
        <v/>
      </c>
      <c r="X107">
        <f>MIN(W107,CreditCap)</f>
        <v/>
      </c>
      <c r="Y107">
        <f>ROUND(Q107*(1-X107),2)</f>
        <v/>
      </c>
      <c r="Z107">
        <f>IF(Policies!I107="",0.02,Policies!I107)</f>
        <v/>
      </c>
      <c r="AA107">
        <f>IFERROR(VLOOKUP(Z107,HurrDedTable,2,FALSE),1)</f>
        <v/>
      </c>
      <c r="AB107">
        <f>IFERROR(INDEX(RateTables!$L$31:$L$33,MATCH(Policies!K107,RateTables!$K$31:$K$33,0)),1)</f>
        <v/>
      </c>
      <c r="AC107">
        <f>ROUND(F107*D107*J107*AA107*AB107,2)</f>
        <v/>
      </c>
      <c r="AD107">
        <f>MIN(AC107,Policies!G107*HurrCapPct)</f>
        <v/>
      </c>
      <c r="AE107">
        <f>Y107+AD107</f>
        <v/>
      </c>
      <c r="AF107" s="1">
        <f>EDATE(Policies!M107,Policies!N107)</f>
        <v/>
      </c>
      <c r="AG107">
        <f>ROUND(YEARFRAC(Policies!M107,AF107,3),4)</f>
        <v/>
      </c>
      <c r="AH107">
        <f>ROUND(AE107*AG107,2)</f>
        <v/>
      </c>
      <c r="AI107">
        <f>MAX(AH107,MinPremium)</f>
        <v/>
      </c>
      <c r="AJ107">
        <f>ROUNDUP(AI107,0)</f>
        <v/>
      </c>
      <c r="AK107">
        <f>VLOOKUP(Policies!N107,FeeTable,2,FALSE)</f>
        <v/>
      </c>
      <c r="AL107">
        <f>ROUND(AJ107*AssessRate,2)</f>
        <v/>
      </c>
      <c r="AM107">
        <f>ROUND((AJ107+AK107)*G107,2)</f>
        <v/>
      </c>
      <c r="AN107">
        <f>AJ107+AK107+AL107+AM107</f>
        <v/>
      </c>
      <c r="AO107">
        <f>IF(OR(Policies!G107&gt;1000000,C107&gt;20,Policies!L107&gt;=3),"REFER","OK")</f>
        <v/>
      </c>
      <c r="AP107">
        <f>ROUND(AH107/D107,3)</f>
        <v/>
      </c>
      <c r="AQ107">
        <f>Policies!B107&amp;"-"&amp;LEFT(Policies!C107,1)&amp;TEXT(Policies!D107,"00")</f>
        <v/>
      </c>
    </row>
    <row r="108">
      <c r="A108">
        <f>Policies!A108</f>
        <v/>
      </c>
      <c r="B108">
        <f>IFERROR(DATEDIF(DATE(Policies!E108,1,1),Policies!M108,"y"),0)</f>
        <v/>
      </c>
      <c r="C108">
        <f>Policies!F108*1</f>
        <v/>
      </c>
      <c r="D108">
        <f>Policies!G108/1000</f>
        <v/>
      </c>
      <c r="E108">
        <f>VLOOKUP(Policies!B108,BaseRates,2,FALSE)</f>
        <v/>
      </c>
      <c r="F108">
        <f>VLOOKUP(Policies!B108,BaseRates,3,FALSE)</f>
        <v/>
      </c>
      <c r="G108">
        <f>VLOOKUP(Policies!B108,BaseRates,4,FALSE)</f>
        <v/>
      </c>
      <c r="H108">
        <f>ROUND(E108*D108,2)</f>
        <v/>
      </c>
      <c r="I108">
        <f>INDEX(RateTables!$B$13:$B$16,MATCH(Policies!C108,RateTables!$A$13:$A$16,0))</f>
        <v/>
      </c>
      <c r="J108">
        <f>INDEX(RateTables!$C$13:$C$16,MATCH(Policies!C108,RateTables!$A$13:$A$16,0))</f>
        <v/>
      </c>
      <c r="K108">
        <f>INDEX(RateTables!$B$19:$C$28,MATCH(Policies!D108,RateTables!$A$19:$A$28,0),IF(Policies!C108="Frame",1,2))</f>
        <v/>
      </c>
      <c r="L108">
        <f>VLOOKUP(B108,AgeBands,2,TRUE)</f>
        <v/>
      </c>
      <c r="M108">
        <f>VLOOKUP(C108,RoofBands,2,TRUE)</f>
        <v/>
      </c>
      <c r="N108">
        <f>VLOOKUP(Policies!G108,AOIBands,2,TRUE)</f>
        <v/>
      </c>
      <c r="O108">
        <f>VLOOKUP(Policies!H108,RateTables!$A$31:$B$35,2,TRUE)</f>
        <v/>
      </c>
      <c r="P108">
        <f>VLOOKUP(MIN(Policies!L108,3),ClaimsTable,2,FALSE)</f>
        <v/>
      </c>
      <c r="Q108">
        <f>ROUND(H108*I108*K108*L108*M108*N108*O108*P108,2)</f>
        <v/>
      </c>
      <c r="R108">
        <f>IF(Policies!J108="Y",1,0)</f>
        <v/>
      </c>
      <c r="S108">
        <f>IF(AND(Policies!L108=0,B108&gt;=3),1,0)</f>
        <v/>
      </c>
      <c r="T108">
        <f>IF(B108&lt;=5,1,0)</f>
        <v/>
      </c>
      <c r="U108">
        <f>IF(Policies!K108="Basic",1,0)</f>
        <v/>
      </c>
      <c r="V108">
        <f>IF(Policies!K108="Fortified",1,0)</f>
        <v/>
      </c>
      <c r="W108">
        <f>SUMPRODUCT(R108:V108,CreditPcts)</f>
        <v/>
      </c>
      <c r="X108">
        <f>MIN(W108,CreditCap)</f>
        <v/>
      </c>
      <c r="Y108">
        <f>ROUND(Q108*(1-X108),2)</f>
        <v/>
      </c>
      <c r="Z108">
        <f>IF(Policies!I108="",0.02,Policies!I108)</f>
        <v/>
      </c>
      <c r="AA108">
        <f>IFERROR(VLOOKUP(Z108,HurrDedTable,2,FALSE),1)</f>
        <v/>
      </c>
      <c r="AB108">
        <f>IFERROR(INDEX(RateTables!$L$31:$L$33,MATCH(Policies!K108,RateTables!$K$31:$K$33,0)),1)</f>
        <v/>
      </c>
      <c r="AC108">
        <f>ROUND(F108*D108*J108*AA108*AB108,2)</f>
        <v/>
      </c>
      <c r="AD108">
        <f>MIN(AC108,Policies!G108*HurrCapPct)</f>
        <v/>
      </c>
      <c r="AE108">
        <f>Y108+AD108</f>
        <v/>
      </c>
      <c r="AF108" s="1">
        <f>EDATE(Policies!M108,Policies!N108)</f>
        <v/>
      </c>
      <c r="AG108">
        <f>ROUND(YEARFRAC(Policies!M108,AF108,3),4)</f>
        <v/>
      </c>
      <c r="AH108">
        <f>ROUND(AE108*AG108,2)</f>
        <v/>
      </c>
      <c r="AI108">
        <f>MAX(AH108,MinPremium)</f>
        <v/>
      </c>
      <c r="AJ108">
        <f>ROUNDUP(AI108,0)</f>
        <v/>
      </c>
      <c r="AK108">
        <f>VLOOKUP(Policies!N108,FeeTable,2,FALSE)</f>
        <v/>
      </c>
      <c r="AL108">
        <f>ROUND(AJ108*AssessRate,2)</f>
        <v/>
      </c>
      <c r="AM108">
        <f>ROUND((AJ108+AK108)*G108,2)</f>
        <v/>
      </c>
      <c r="AN108">
        <f>AJ108+AK108+AL108+AM108</f>
        <v/>
      </c>
      <c r="AO108">
        <f>IF(OR(Policies!G108&gt;1000000,C108&gt;20,Policies!L108&gt;=3),"REFER","OK")</f>
        <v/>
      </c>
      <c r="AP108">
        <f>ROUND(AH108/D108,3)</f>
        <v/>
      </c>
      <c r="AQ108">
        <f>Policies!B108&amp;"-"&amp;LEFT(Policies!C108,1)&amp;TEXT(Policies!D108,"00")</f>
        <v/>
      </c>
    </row>
    <row r="109">
      <c r="A109">
        <f>Policies!A109</f>
        <v/>
      </c>
      <c r="B109">
        <f>IFERROR(DATEDIF(DATE(Policies!E109,1,1),Policies!M109,"y"),0)</f>
        <v/>
      </c>
      <c r="C109">
        <f>Policies!F109*1</f>
        <v/>
      </c>
      <c r="D109">
        <f>Policies!G109/1000</f>
        <v/>
      </c>
      <c r="E109">
        <f>VLOOKUP(Policies!B109,BaseRates,2,FALSE)</f>
        <v/>
      </c>
      <c r="F109">
        <f>VLOOKUP(Policies!B109,BaseRates,3,FALSE)</f>
        <v/>
      </c>
      <c r="G109">
        <f>VLOOKUP(Policies!B109,BaseRates,4,FALSE)</f>
        <v/>
      </c>
      <c r="H109">
        <f>ROUND(E109*D109,2)</f>
        <v/>
      </c>
      <c r="I109">
        <f>INDEX(RateTables!$B$13:$B$16,MATCH(Policies!C109,RateTables!$A$13:$A$16,0))</f>
        <v/>
      </c>
      <c r="J109">
        <f>INDEX(RateTables!$C$13:$C$16,MATCH(Policies!C109,RateTables!$A$13:$A$16,0))</f>
        <v/>
      </c>
      <c r="K109">
        <f>INDEX(RateTables!$B$19:$C$28,MATCH(Policies!D109,RateTables!$A$19:$A$28,0),IF(Policies!C109="Frame",1,2))</f>
        <v/>
      </c>
      <c r="L109">
        <f>VLOOKUP(B109,AgeBands,2,TRUE)</f>
        <v/>
      </c>
      <c r="M109">
        <f>VLOOKUP(C109,RoofBands,2,TRUE)</f>
        <v/>
      </c>
      <c r="N109">
        <f>VLOOKUP(Policies!G109,AOIBands,2,TRUE)</f>
        <v/>
      </c>
      <c r="O109">
        <f>VLOOKUP(Policies!H109,RateTables!$A$31:$B$35,2,TRUE)</f>
        <v/>
      </c>
      <c r="P109">
        <f>VLOOKUP(MIN(Policies!L109,3),ClaimsTable,2,FALSE)</f>
        <v/>
      </c>
      <c r="Q109">
        <f>ROUND(H109*I109*K109*L109*M109*N109*O109*P109,2)</f>
        <v/>
      </c>
      <c r="R109">
        <f>IF(Policies!J109="Y",1,0)</f>
        <v/>
      </c>
      <c r="S109">
        <f>IF(AND(Policies!L109=0,B109&gt;=3),1,0)</f>
        <v/>
      </c>
      <c r="T109">
        <f>IF(B109&lt;=5,1,0)</f>
        <v/>
      </c>
      <c r="U109">
        <f>IF(Policies!K109="Basic",1,0)</f>
        <v/>
      </c>
      <c r="V109">
        <f>IF(Policies!K109="Fortified",1,0)</f>
        <v/>
      </c>
      <c r="W109">
        <f>SUMPRODUCT(R109:V109,CreditPcts)</f>
        <v/>
      </c>
      <c r="X109">
        <f>MIN(W109,CreditCap)</f>
        <v/>
      </c>
      <c r="Y109">
        <f>ROUND(Q109*(1-X109),2)</f>
        <v/>
      </c>
      <c r="Z109">
        <f>IF(Policies!I109="",0.02,Policies!I109)</f>
        <v/>
      </c>
      <c r="AA109">
        <f>IFERROR(VLOOKUP(Z109,HurrDedTable,2,FALSE),1)</f>
        <v/>
      </c>
      <c r="AB109">
        <f>IFERROR(INDEX(RateTables!$L$31:$L$33,MATCH(Policies!K109,RateTables!$K$31:$K$33,0)),1)</f>
        <v/>
      </c>
      <c r="AC109">
        <f>ROUND(F109*D109*J109*AA109*AB109,2)</f>
        <v/>
      </c>
      <c r="AD109">
        <f>MIN(AC109,Policies!G109*HurrCapPct)</f>
        <v/>
      </c>
      <c r="AE109">
        <f>Y109+AD109</f>
        <v/>
      </c>
      <c r="AF109" s="1">
        <f>EDATE(Policies!M109,Policies!N109)</f>
        <v/>
      </c>
      <c r="AG109">
        <f>ROUND(YEARFRAC(Policies!M109,AF109,3),4)</f>
        <v/>
      </c>
      <c r="AH109">
        <f>ROUND(AE109*AG109,2)</f>
        <v/>
      </c>
      <c r="AI109">
        <f>MAX(AH109,MinPremium)</f>
        <v/>
      </c>
      <c r="AJ109">
        <f>ROUNDUP(AI109,0)</f>
        <v/>
      </c>
      <c r="AK109">
        <f>VLOOKUP(Policies!N109,FeeTable,2,FALSE)</f>
        <v/>
      </c>
      <c r="AL109">
        <f>ROUND(AJ109*AssessRate,2)</f>
        <v/>
      </c>
      <c r="AM109">
        <f>ROUND((AJ109+AK109)*G109,2)</f>
        <v/>
      </c>
      <c r="AN109">
        <f>AJ109+AK109+AL109+AM109</f>
        <v/>
      </c>
      <c r="AO109">
        <f>IF(OR(Policies!G109&gt;1000000,C109&gt;20,Policies!L109&gt;=3),"REFER","OK")</f>
        <v/>
      </c>
      <c r="AP109">
        <f>ROUND(AH109/D109,3)</f>
        <v/>
      </c>
      <c r="AQ109">
        <f>Policies!B109&amp;"-"&amp;LEFT(Policies!C109,1)&amp;TEXT(Policies!D109,"00")</f>
        <v/>
      </c>
    </row>
    <row r="110">
      <c r="A110">
        <f>Policies!A110</f>
        <v/>
      </c>
      <c r="B110">
        <f>IFERROR(DATEDIF(DATE(Policies!E110,1,1),Policies!M110,"y"),0)</f>
        <v/>
      </c>
      <c r="C110">
        <f>Policies!F110*1</f>
        <v/>
      </c>
      <c r="D110">
        <f>Policies!G110/1000</f>
        <v/>
      </c>
      <c r="E110">
        <f>VLOOKUP(Policies!B110,BaseRates,2,FALSE)</f>
        <v/>
      </c>
      <c r="F110">
        <f>VLOOKUP(Policies!B110,BaseRates,3,FALSE)</f>
        <v/>
      </c>
      <c r="G110">
        <f>VLOOKUP(Policies!B110,BaseRates,4,FALSE)</f>
        <v/>
      </c>
      <c r="H110">
        <f>ROUND(E110*D110,2)</f>
        <v/>
      </c>
      <c r="I110">
        <f>INDEX(RateTables!$B$13:$B$16,MATCH(Policies!C110,RateTables!$A$13:$A$16,0))</f>
        <v/>
      </c>
      <c r="J110">
        <f>INDEX(RateTables!$C$13:$C$16,MATCH(Policies!C110,RateTables!$A$13:$A$16,0))</f>
        <v/>
      </c>
      <c r="K110">
        <f>INDEX(RateTables!$B$19:$C$28,MATCH(Policies!D110,RateTables!$A$19:$A$28,0),IF(Policies!C110="Frame",1,2))</f>
        <v/>
      </c>
      <c r="L110">
        <f>VLOOKUP(B110,AgeBands,2,TRUE)</f>
        <v/>
      </c>
      <c r="M110">
        <f>VLOOKUP(C110,RoofBands,2,TRUE)</f>
        <v/>
      </c>
      <c r="N110">
        <f>VLOOKUP(Policies!G110,AOIBands,2,TRUE)</f>
        <v/>
      </c>
      <c r="O110">
        <f>VLOOKUP(Policies!H110,RateTables!$A$31:$B$35,2,TRUE)</f>
        <v/>
      </c>
      <c r="P110">
        <f>VLOOKUP(MIN(Policies!L110,3),ClaimsTable,2,FALSE)</f>
        <v/>
      </c>
      <c r="Q110">
        <f>ROUND(H110*I110*K110*L110*M110*N110*O110*P110,2)</f>
        <v/>
      </c>
      <c r="R110">
        <f>IF(Policies!J110="Y",1,0)</f>
        <v/>
      </c>
      <c r="S110">
        <f>IF(AND(Policies!L110=0,B110&gt;=3),1,0)</f>
        <v/>
      </c>
      <c r="T110">
        <f>IF(B110&lt;=5,1,0)</f>
        <v/>
      </c>
      <c r="U110">
        <f>IF(Policies!K110="Basic",1,0)</f>
        <v/>
      </c>
      <c r="V110">
        <f>IF(Policies!K110="Fortified",1,0)</f>
        <v/>
      </c>
      <c r="W110">
        <f>SUMPRODUCT(R110:V110,CreditPcts)</f>
        <v/>
      </c>
      <c r="X110">
        <f>MIN(W110,CreditCap)</f>
        <v/>
      </c>
      <c r="Y110">
        <f>ROUND(Q110*(1-X110),2)</f>
        <v/>
      </c>
      <c r="Z110">
        <f>IF(Policies!I110="",0.02,Policies!I110)</f>
        <v/>
      </c>
      <c r="AA110">
        <f>IFERROR(VLOOKUP(Z110,HurrDedTable,2,FALSE),1)</f>
        <v/>
      </c>
      <c r="AB110">
        <f>IFERROR(INDEX(RateTables!$L$31:$L$33,MATCH(Policies!K110,RateTables!$K$31:$K$33,0)),1)</f>
        <v/>
      </c>
      <c r="AC110">
        <f>ROUND(F110*D110*J110*AA110*AB110,2)</f>
        <v/>
      </c>
      <c r="AD110">
        <f>MIN(AC110,Policies!G110*HurrCapPct)</f>
        <v/>
      </c>
      <c r="AE110">
        <f>Y110+AD110</f>
        <v/>
      </c>
      <c r="AF110" s="1">
        <f>EDATE(Policies!M110,Policies!N110)</f>
        <v/>
      </c>
      <c r="AG110">
        <f>ROUND(YEARFRAC(Policies!M110,AF110,3),4)</f>
        <v/>
      </c>
      <c r="AH110">
        <f>ROUND(AE110*AG110,2)</f>
        <v/>
      </c>
      <c r="AI110">
        <f>MAX(AH110,MinPremium)</f>
        <v/>
      </c>
      <c r="AJ110">
        <f>ROUNDUP(AI110,0)</f>
        <v/>
      </c>
      <c r="AK110">
        <f>VLOOKUP(Policies!N110,FeeTable,2,FALSE)</f>
        <v/>
      </c>
      <c r="AL110">
        <f>ROUND(AJ110*AssessRate,2)</f>
        <v/>
      </c>
      <c r="AM110">
        <f>ROUND((AJ110+AK110)*G110,2)</f>
        <v/>
      </c>
      <c r="AN110">
        <f>AJ110+AK110+AL110+AM110</f>
        <v/>
      </c>
      <c r="AO110">
        <f>IF(OR(Policies!G110&gt;1000000,C110&gt;20,Policies!L110&gt;=3),"REFER","OK")</f>
        <v/>
      </c>
      <c r="AP110">
        <f>ROUND(AH110/D110,3)</f>
        <v/>
      </c>
      <c r="AQ110">
        <f>Policies!B110&amp;"-"&amp;LEFT(Policies!C110,1)&amp;TEXT(Policies!D110,"00")</f>
        <v/>
      </c>
    </row>
    <row r="111">
      <c r="A111">
        <f>Policies!A111</f>
        <v/>
      </c>
      <c r="B111">
        <f>IFERROR(DATEDIF(DATE(Policies!E111,1,1),Policies!M111,"y"),0)</f>
        <v/>
      </c>
      <c r="C111">
        <f>Policies!F111*1</f>
        <v/>
      </c>
      <c r="D111">
        <f>Policies!G111/1000</f>
        <v/>
      </c>
      <c r="E111">
        <f>VLOOKUP(Policies!B111,BaseRates,2,FALSE)</f>
        <v/>
      </c>
      <c r="F111">
        <f>VLOOKUP(Policies!B111,BaseRates,3,FALSE)</f>
        <v/>
      </c>
      <c r="G111">
        <f>VLOOKUP(Policies!B111,BaseRates,4,FALSE)</f>
        <v/>
      </c>
      <c r="H111">
        <f>ROUND(E111*D111,2)</f>
        <v/>
      </c>
      <c r="I111">
        <f>INDEX(RateTables!$B$13:$B$16,MATCH(Policies!C111,RateTables!$A$13:$A$16,0))</f>
        <v/>
      </c>
      <c r="J111">
        <f>INDEX(RateTables!$C$13:$C$16,MATCH(Policies!C111,RateTables!$A$13:$A$16,0))</f>
        <v/>
      </c>
      <c r="K111">
        <f>INDEX(RateTables!$B$19:$C$28,MATCH(Policies!D111,RateTables!$A$19:$A$28,0),IF(Policies!C111="Frame",1,2))</f>
        <v/>
      </c>
      <c r="L111">
        <f>VLOOKUP(B111,AgeBands,2,TRUE)</f>
        <v/>
      </c>
      <c r="M111">
        <f>VLOOKUP(C111,RoofBands,2,TRUE)</f>
        <v/>
      </c>
      <c r="N111">
        <f>VLOOKUP(Policies!G111,AOIBands,2,TRUE)</f>
        <v/>
      </c>
      <c r="O111">
        <f>VLOOKUP(Policies!H111,RateTables!$A$31:$B$35,2,TRUE)</f>
        <v/>
      </c>
      <c r="P111">
        <f>VLOOKUP(MIN(Policies!L111,3),ClaimsTable,2,FALSE)</f>
        <v/>
      </c>
      <c r="Q111">
        <f>ROUND(H111*I111*K111*L111*M111*N111*O111*P111,2)</f>
        <v/>
      </c>
      <c r="R111">
        <f>IF(Policies!J111="Y",1,0)</f>
        <v/>
      </c>
      <c r="S111">
        <f>IF(AND(Policies!L111=0,B111&gt;=3),1,0)</f>
        <v/>
      </c>
      <c r="T111">
        <f>IF(B111&lt;=5,1,0)</f>
        <v/>
      </c>
      <c r="U111">
        <f>IF(Policies!K111="Basic",1,0)</f>
        <v/>
      </c>
      <c r="V111">
        <f>IF(Policies!K111="Fortified",1,0)</f>
        <v/>
      </c>
      <c r="W111">
        <f>SUMPRODUCT(R111:V111,CreditPcts)</f>
        <v/>
      </c>
      <c r="X111">
        <f>MIN(W111,CreditCap)</f>
        <v/>
      </c>
      <c r="Y111">
        <f>ROUND(Q111*(1-X111),2)</f>
        <v/>
      </c>
      <c r="Z111">
        <f>IF(Policies!I111="",0.02,Policies!I111)</f>
        <v/>
      </c>
      <c r="AA111">
        <f>IFERROR(VLOOKUP(Z111,HurrDedTable,2,FALSE),1)</f>
        <v/>
      </c>
      <c r="AB111">
        <f>IFERROR(INDEX(RateTables!$L$31:$L$33,MATCH(Policies!K111,RateTables!$K$31:$K$33,0)),1)</f>
        <v/>
      </c>
      <c r="AC111">
        <f>ROUND(F111*D111*J111*AA111*AB111,2)</f>
        <v/>
      </c>
      <c r="AD111">
        <f>MIN(AC111,Policies!G111*HurrCapPct)</f>
        <v/>
      </c>
      <c r="AE111">
        <f>Y111+AD111</f>
        <v/>
      </c>
      <c r="AF111" s="1">
        <f>EDATE(Policies!M111,Policies!N111)</f>
        <v/>
      </c>
      <c r="AG111">
        <f>ROUND(YEARFRAC(Policies!M111,AF111,3),4)</f>
        <v/>
      </c>
      <c r="AH111">
        <f>ROUND(AE111*AG111,2)</f>
        <v/>
      </c>
      <c r="AI111">
        <f>MAX(AH111,MinPremium)</f>
        <v/>
      </c>
      <c r="AJ111">
        <f>ROUNDUP(AI111,0)</f>
        <v/>
      </c>
      <c r="AK111">
        <f>VLOOKUP(Policies!N111,FeeTable,2,FALSE)</f>
        <v/>
      </c>
      <c r="AL111">
        <f>ROUND(AJ111*AssessRate,2)</f>
        <v/>
      </c>
      <c r="AM111">
        <f>ROUND((AJ111+AK111)*G111,2)</f>
        <v/>
      </c>
      <c r="AN111">
        <f>AJ111+AK111+AL111+AM111</f>
        <v/>
      </c>
      <c r="AO111">
        <f>IF(OR(Policies!G111&gt;1000000,C111&gt;20,Policies!L111&gt;=3),"REFER","OK")</f>
        <v/>
      </c>
      <c r="AP111">
        <f>ROUND(AH111/D111,3)</f>
        <v/>
      </c>
      <c r="AQ111">
        <f>Policies!B111&amp;"-"&amp;LEFT(Policies!C111,1)&amp;TEXT(Policies!D111,"00")</f>
        <v/>
      </c>
    </row>
    <row r="112">
      <c r="A112">
        <f>Policies!A112</f>
        <v/>
      </c>
      <c r="B112">
        <f>IFERROR(DATEDIF(DATE(Policies!E112,1,1),Policies!M112,"y"),0)</f>
        <v/>
      </c>
      <c r="C112">
        <f>Policies!F112*1</f>
        <v/>
      </c>
      <c r="D112">
        <f>Policies!G112/1000</f>
        <v/>
      </c>
      <c r="E112">
        <f>VLOOKUP(Policies!B112,BaseRates,2,FALSE)</f>
        <v/>
      </c>
      <c r="F112">
        <f>VLOOKUP(Policies!B112,BaseRates,3,FALSE)</f>
        <v/>
      </c>
      <c r="G112">
        <f>VLOOKUP(Policies!B112,BaseRates,4,FALSE)</f>
        <v/>
      </c>
      <c r="H112">
        <f>ROUND(E112*D112,2)</f>
        <v/>
      </c>
      <c r="I112">
        <f>INDEX(RateTables!$B$13:$B$16,MATCH(Policies!C112,RateTables!$A$13:$A$16,0))</f>
        <v/>
      </c>
      <c r="J112">
        <f>INDEX(RateTables!$C$13:$C$16,MATCH(Policies!C112,RateTables!$A$13:$A$16,0))</f>
        <v/>
      </c>
      <c r="K112">
        <f>INDEX(RateTables!$B$19:$C$28,MATCH(Policies!D112,RateTables!$A$19:$A$28,0),IF(Policies!C112="Frame",1,2))</f>
        <v/>
      </c>
      <c r="L112">
        <f>VLOOKUP(B112,AgeBands,2,TRUE)</f>
        <v/>
      </c>
      <c r="M112">
        <f>VLOOKUP(C112,RoofBands,2,TRUE)</f>
        <v/>
      </c>
      <c r="N112">
        <f>VLOOKUP(Policies!G112,AOIBands,2,TRUE)</f>
        <v/>
      </c>
      <c r="O112">
        <f>VLOOKUP(Policies!H112,RateTables!$A$31:$B$35,2,TRUE)</f>
        <v/>
      </c>
      <c r="P112">
        <f>VLOOKUP(MIN(Policies!L112,3),ClaimsTable,2,FALSE)</f>
        <v/>
      </c>
      <c r="Q112">
        <f>ROUND(H112*I112*K112*L112*M112*N112*O112*P112,2)</f>
        <v/>
      </c>
      <c r="R112">
        <f>IF(Policies!J112="Y",1,0)</f>
        <v/>
      </c>
      <c r="S112">
        <f>IF(AND(Policies!L112=0,B112&gt;=3),1,0)</f>
        <v/>
      </c>
      <c r="T112">
        <f>IF(B112&lt;=5,1,0)</f>
        <v/>
      </c>
      <c r="U112">
        <f>IF(Policies!K112="Basic",1,0)</f>
        <v/>
      </c>
      <c r="V112">
        <f>IF(Policies!K112="Fortified",1,0)</f>
        <v/>
      </c>
      <c r="W112">
        <f>SUMPRODUCT(R112:V112,CreditPcts)</f>
        <v/>
      </c>
      <c r="X112">
        <f>MIN(W112,CreditCap)</f>
        <v/>
      </c>
      <c r="Y112">
        <f>ROUND(Q112*(1-X112),2)</f>
        <v/>
      </c>
      <c r="Z112">
        <f>IF(Policies!I112="",0.02,Policies!I112)</f>
        <v/>
      </c>
      <c r="AA112">
        <f>IFERROR(VLOOKUP(Z112,HurrDedTable,2,FALSE),1)</f>
        <v/>
      </c>
      <c r="AB112">
        <f>IFERROR(INDEX(RateTables!$L$31:$L$33,MATCH(Policies!K112,RateTables!$K$31:$K$33,0)),1)</f>
        <v/>
      </c>
      <c r="AC112">
        <f>ROUND(F112*D112*J112*AA112*AB112,2)</f>
        <v/>
      </c>
      <c r="AD112">
        <f>MIN(AC112,Policies!G112*HurrCapPct)</f>
        <v/>
      </c>
      <c r="AE112">
        <f>Y112+AD112</f>
        <v/>
      </c>
      <c r="AF112" s="1">
        <f>EDATE(Policies!M112,Policies!N112)</f>
        <v/>
      </c>
      <c r="AG112">
        <f>ROUND(YEARFRAC(Policies!M112,AF112,3),4)</f>
        <v/>
      </c>
      <c r="AH112">
        <f>ROUND(AE112*AG112,2)</f>
        <v/>
      </c>
      <c r="AI112">
        <f>MAX(AH112,MinPremium)</f>
        <v/>
      </c>
      <c r="AJ112">
        <f>ROUNDUP(AI112,0)</f>
        <v/>
      </c>
      <c r="AK112">
        <f>VLOOKUP(Policies!N112,FeeTable,2,FALSE)</f>
        <v/>
      </c>
      <c r="AL112">
        <f>ROUND(AJ112*AssessRate,2)</f>
        <v/>
      </c>
      <c r="AM112">
        <f>ROUND((AJ112+AK112)*G112,2)</f>
        <v/>
      </c>
      <c r="AN112">
        <f>AJ112+AK112+AL112+AM112</f>
        <v/>
      </c>
      <c r="AO112">
        <f>IF(OR(Policies!G112&gt;1000000,C112&gt;20,Policies!L112&gt;=3),"REFER","OK")</f>
        <v/>
      </c>
      <c r="AP112">
        <f>ROUND(AH112/D112,3)</f>
        <v/>
      </c>
      <c r="AQ112">
        <f>Policies!B112&amp;"-"&amp;LEFT(Policies!C112,1)&amp;TEXT(Policies!D112,"00")</f>
        <v/>
      </c>
    </row>
    <row r="113">
      <c r="A113">
        <f>Policies!A113</f>
        <v/>
      </c>
      <c r="B113">
        <f>IFERROR(DATEDIF(DATE(Policies!E113,1,1),Policies!M113,"y"),0)</f>
        <v/>
      </c>
      <c r="C113">
        <f>Policies!F113*1</f>
        <v/>
      </c>
      <c r="D113">
        <f>Policies!G113/1000</f>
        <v/>
      </c>
      <c r="E113">
        <f>VLOOKUP(Policies!B113,BaseRates,2,FALSE)</f>
        <v/>
      </c>
      <c r="F113">
        <f>VLOOKUP(Policies!B113,BaseRates,3,FALSE)</f>
        <v/>
      </c>
      <c r="G113">
        <f>VLOOKUP(Policies!B113,BaseRates,4,FALSE)</f>
        <v/>
      </c>
      <c r="H113">
        <f>ROUND(E113*D113,2)</f>
        <v/>
      </c>
      <c r="I113">
        <f>INDEX(RateTables!$B$13:$B$16,MATCH(Policies!C113,RateTables!$A$13:$A$16,0))</f>
        <v/>
      </c>
      <c r="J113">
        <f>INDEX(RateTables!$C$13:$C$16,MATCH(Policies!C113,RateTables!$A$13:$A$16,0))</f>
        <v/>
      </c>
      <c r="K113">
        <f>INDEX(RateTables!$B$19:$C$28,MATCH(Policies!D113,RateTables!$A$19:$A$28,0),IF(Policies!C113="Frame",1,2))</f>
        <v/>
      </c>
      <c r="L113">
        <f>VLOOKUP(B113,AgeBands,2,TRUE)</f>
        <v/>
      </c>
      <c r="M113">
        <f>VLOOKUP(C113,RoofBands,2,TRUE)</f>
        <v/>
      </c>
      <c r="N113">
        <f>VLOOKUP(Policies!G113,AOIBands,2,TRUE)</f>
        <v/>
      </c>
      <c r="O113">
        <f>VLOOKUP(Policies!H113,RateTables!$A$31:$B$35,2,TRUE)</f>
        <v/>
      </c>
      <c r="P113">
        <f>VLOOKUP(MIN(Policies!L113,3),ClaimsTable,2,FALSE)</f>
        <v/>
      </c>
      <c r="Q113">
        <f>ROUND(H113*I113*K113*L113*M113*N113*O113*P113,2)</f>
        <v/>
      </c>
      <c r="R113">
        <f>IF(Policies!J113="Y",1,0)</f>
        <v/>
      </c>
      <c r="S113">
        <f>IF(AND(Policies!L113=0,B113&gt;=3),1,0)</f>
        <v/>
      </c>
      <c r="T113">
        <f>IF(B113&lt;=5,1,0)</f>
        <v/>
      </c>
      <c r="U113">
        <f>IF(Policies!K113="Basic",1,0)</f>
        <v/>
      </c>
      <c r="V113">
        <f>IF(Policies!K113="Fortified",1,0)</f>
        <v/>
      </c>
      <c r="W113">
        <f>SUMPRODUCT(R113:V113,CreditPcts)</f>
        <v/>
      </c>
      <c r="X113">
        <f>MIN(W113,CreditCap)</f>
        <v/>
      </c>
      <c r="Y113">
        <f>ROUND(Q113*(1-X113),2)</f>
        <v/>
      </c>
      <c r="Z113">
        <f>IF(Policies!I113="",0.02,Policies!I113)</f>
        <v/>
      </c>
      <c r="AA113">
        <f>IFERROR(VLOOKUP(Z113,HurrDedTable,2,FALSE),1)</f>
        <v/>
      </c>
      <c r="AB113">
        <f>IFERROR(INDEX(RateTables!$L$31:$L$33,MATCH(Policies!K113,RateTables!$K$31:$K$33,0)),1)</f>
        <v/>
      </c>
      <c r="AC113">
        <f>ROUND(F113*D113*J113*AA113*AB113,2)</f>
        <v/>
      </c>
      <c r="AD113">
        <f>MIN(AC113,Policies!G113*HurrCapPct)</f>
        <v/>
      </c>
      <c r="AE113">
        <f>Y113+AD113</f>
        <v/>
      </c>
      <c r="AF113" s="1">
        <f>EDATE(Policies!M113,Policies!N113)</f>
        <v/>
      </c>
      <c r="AG113">
        <f>ROUND(YEARFRAC(Policies!M113,AF113,3),4)</f>
        <v/>
      </c>
      <c r="AH113">
        <f>ROUND(AE113*AG113,2)</f>
        <v/>
      </c>
      <c r="AI113">
        <f>MAX(AH113,MinPremium)</f>
        <v/>
      </c>
      <c r="AJ113">
        <f>ROUNDUP(AI113,0)</f>
        <v/>
      </c>
      <c r="AK113">
        <f>VLOOKUP(Policies!N113,FeeTable,2,FALSE)</f>
        <v/>
      </c>
      <c r="AL113">
        <f>ROUND(AJ113*AssessRate,2)</f>
        <v/>
      </c>
      <c r="AM113">
        <f>ROUND((AJ113+AK113)*G113,2)</f>
        <v/>
      </c>
      <c r="AN113">
        <f>AJ113+AK113+AL113+AM113</f>
        <v/>
      </c>
      <c r="AO113">
        <f>IF(OR(Policies!G113&gt;1000000,C113&gt;20,Policies!L113&gt;=3),"REFER","OK")</f>
        <v/>
      </c>
      <c r="AP113">
        <f>ROUND(AH113/D113,3)</f>
        <v/>
      </c>
      <c r="AQ113">
        <f>Policies!B113&amp;"-"&amp;LEFT(Policies!C113,1)&amp;TEXT(Policies!D113,"00")</f>
        <v/>
      </c>
    </row>
    <row r="114">
      <c r="A114">
        <f>Policies!A114</f>
        <v/>
      </c>
      <c r="B114">
        <f>IFERROR(DATEDIF(DATE(Policies!E114,1,1),Policies!M114,"y"),0)</f>
        <v/>
      </c>
      <c r="C114">
        <f>Policies!F114*1</f>
        <v/>
      </c>
      <c r="D114">
        <f>Policies!G114/1000</f>
        <v/>
      </c>
      <c r="E114">
        <f>VLOOKUP(Policies!B114,BaseRates,2,FALSE)</f>
        <v/>
      </c>
      <c r="F114">
        <f>VLOOKUP(Policies!B114,BaseRates,3,FALSE)</f>
        <v/>
      </c>
      <c r="G114">
        <f>VLOOKUP(Policies!B114,BaseRates,4,FALSE)</f>
        <v/>
      </c>
      <c r="H114">
        <f>ROUND(E114*D114,2)</f>
        <v/>
      </c>
      <c r="I114">
        <f>INDEX(RateTables!$B$13:$B$16,MATCH(Policies!C114,RateTables!$A$13:$A$16,0))</f>
        <v/>
      </c>
      <c r="J114">
        <f>INDEX(RateTables!$C$13:$C$16,MATCH(Policies!C114,RateTables!$A$13:$A$16,0))</f>
        <v/>
      </c>
      <c r="K114">
        <f>INDEX(RateTables!$B$19:$C$28,MATCH(Policies!D114,RateTables!$A$19:$A$28,0),IF(Policies!C114="Frame",1,2))</f>
        <v/>
      </c>
      <c r="L114">
        <f>VLOOKUP(B114,AgeBands,2,TRUE)</f>
        <v/>
      </c>
      <c r="M114">
        <f>VLOOKUP(C114,RoofBands,2,TRUE)</f>
        <v/>
      </c>
      <c r="N114">
        <f>VLOOKUP(Policies!G114,AOIBands,2,TRUE)</f>
        <v/>
      </c>
      <c r="O114">
        <f>VLOOKUP(Policies!H114,RateTables!$A$31:$B$35,2,TRUE)</f>
        <v/>
      </c>
      <c r="P114">
        <f>VLOOKUP(MIN(Policies!L114,3),ClaimsTable,2,FALSE)</f>
        <v/>
      </c>
      <c r="Q114">
        <f>ROUND(H114*I114*K114*L114*M114*N114*O114*P114,2)</f>
        <v/>
      </c>
      <c r="R114">
        <f>IF(Policies!J114="Y",1,0)</f>
        <v/>
      </c>
      <c r="S114">
        <f>IF(AND(Policies!L114=0,B114&gt;=3),1,0)</f>
        <v/>
      </c>
      <c r="T114">
        <f>IF(B114&lt;=5,1,0)</f>
        <v/>
      </c>
      <c r="U114">
        <f>IF(Policies!K114="Basic",1,0)</f>
        <v/>
      </c>
      <c r="V114">
        <f>IF(Policies!K114="Fortified",1,0)</f>
        <v/>
      </c>
      <c r="W114">
        <f>SUMPRODUCT(R114:V114,CreditPcts)</f>
        <v/>
      </c>
      <c r="X114">
        <f>MIN(W114,CreditCap)</f>
        <v/>
      </c>
      <c r="Y114">
        <f>ROUND(Q114*(1-X114),2)</f>
        <v/>
      </c>
      <c r="Z114">
        <f>IF(Policies!I114="",0.02,Policies!I114)</f>
        <v/>
      </c>
      <c r="AA114">
        <f>IFERROR(VLOOKUP(Z114,HurrDedTable,2,FALSE),1)</f>
        <v/>
      </c>
      <c r="AB114">
        <f>IFERROR(INDEX(RateTables!$L$31:$L$33,MATCH(Policies!K114,RateTables!$K$31:$K$33,0)),1)</f>
        <v/>
      </c>
      <c r="AC114">
        <f>ROUND(F114*D114*J114*AA114*AB114,2)</f>
        <v/>
      </c>
      <c r="AD114">
        <f>MIN(AC114,Policies!G114*HurrCapPct)</f>
        <v/>
      </c>
      <c r="AE114">
        <f>Y114+AD114</f>
        <v/>
      </c>
      <c r="AF114" s="1">
        <f>EDATE(Policies!M114,Policies!N114)</f>
        <v/>
      </c>
      <c r="AG114">
        <f>ROUND(YEARFRAC(Policies!M114,AF114,3),4)</f>
        <v/>
      </c>
      <c r="AH114">
        <f>ROUND(AE114*AG114,2)</f>
        <v/>
      </c>
      <c r="AI114">
        <f>MAX(AH114,MinPremium)</f>
        <v/>
      </c>
      <c r="AJ114">
        <f>ROUNDUP(AI114,0)</f>
        <v/>
      </c>
      <c r="AK114">
        <f>VLOOKUP(Policies!N114,FeeTable,2,FALSE)</f>
        <v/>
      </c>
      <c r="AL114">
        <f>ROUND(AJ114*AssessRate,2)</f>
        <v/>
      </c>
      <c r="AM114">
        <f>ROUND((AJ114+AK114)*G114,2)</f>
        <v/>
      </c>
      <c r="AN114">
        <f>AJ114+AK114+AL114+AM114</f>
        <v/>
      </c>
      <c r="AO114">
        <f>IF(OR(Policies!G114&gt;1000000,C114&gt;20,Policies!L114&gt;=3),"REFER","OK")</f>
        <v/>
      </c>
      <c r="AP114">
        <f>ROUND(AH114/D114,3)</f>
        <v/>
      </c>
      <c r="AQ114">
        <f>Policies!B114&amp;"-"&amp;LEFT(Policies!C114,1)&amp;TEXT(Policies!D114,"00")</f>
        <v/>
      </c>
    </row>
    <row r="115">
      <c r="A115">
        <f>Policies!A115</f>
        <v/>
      </c>
      <c r="B115">
        <f>IFERROR(DATEDIF(DATE(Policies!E115,1,1),Policies!M115,"y"),0)</f>
        <v/>
      </c>
      <c r="C115">
        <f>Policies!F115*1</f>
        <v/>
      </c>
      <c r="D115">
        <f>Policies!G115/1000</f>
        <v/>
      </c>
      <c r="E115">
        <f>VLOOKUP(Policies!B115,BaseRates,2,FALSE)</f>
        <v/>
      </c>
      <c r="F115">
        <f>VLOOKUP(Policies!B115,BaseRates,3,FALSE)</f>
        <v/>
      </c>
      <c r="G115">
        <f>VLOOKUP(Policies!B115,BaseRates,4,FALSE)</f>
        <v/>
      </c>
      <c r="H115">
        <f>ROUND(E115*D115,2)</f>
        <v/>
      </c>
      <c r="I115">
        <f>INDEX(RateTables!$B$13:$B$16,MATCH(Policies!C115,RateTables!$A$13:$A$16,0))</f>
        <v/>
      </c>
      <c r="J115">
        <f>INDEX(RateTables!$C$13:$C$16,MATCH(Policies!C115,RateTables!$A$13:$A$16,0))</f>
        <v/>
      </c>
      <c r="K115">
        <f>INDEX(RateTables!$B$19:$C$28,MATCH(Policies!D115,RateTables!$A$19:$A$28,0),IF(Policies!C115="Frame",1,2))</f>
        <v/>
      </c>
      <c r="L115">
        <f>VLOOKUP(B115,AgeBands,2,TRUE)</f>
        <v/>
      </c>
      <c r="M115">
        <f>VLOOKUP(C115,RoofBands,2,TRUE)</f>
        <v/>
      </c>
      <c r="N115">
        <f>VLOOKUP(Policies!G115,AOIBands,2,TRUE)</f>
        <v/>
      </c>
      <c r="O115">
        <f>VLOOKUP(Policies!H115,RateTables!$A$31:$B$35,2,TRUE)</f>
        <v/>
      </c>
      <c r="P115">
        <f>VLOOKUP(MIN(Policies!L115,3),ClaimsTable,2,FALSE)</f>
        <v/>
      </c>
      <c r="Q115">
        <f>ROUND(H115*I115*K115*L115*M115*N115*O115*P115,2)</f>
        <v/>
      </c>
      <c r="R115">
        <f>IF(Policies!J115="Y",1,0)</f>
        <v/>
      </c>
      <c r="S115">
        <f>IF(AND(Policies!L115=0,B115&gt;=3),1,0)</f>
        <v/>
      </c>
      <c r="T115">
        <f>IF(B115&lt;=5,1,0)</f>
        <v/>
      </c>
      <c r="U115">
        <f>IF(Policies!K115="Basic",1,0)</f>
        <v/>
      </c>
      <c r="V115">
        <f>IF(Policies!K115="Fortified",1,0)</f>
        <v/>
      </c>
      <c r="W115">
        <f>SUMPRODUCT(R115:V115,CreditPcts)</f>
        <v/>
      </c>
      <c r="X115">
        <f>MIN(W115,CreditCap)</f>
        <v/>
      </c>
      <c r="Y115">
        <f>ROUND(Q115*(1-X115),2)</f>
        <v/>
      </c>
      <c r="Z115">
        <f>IF(Policies!I115="",0.02,Policies!I115)</f>
        <v/>
      </c>
      <c r="AA115">
        <f>IFERROR(VLOOKUP(Z115,HurrDedTable,2,FALSE),1)</f>
        <v/>
      </c>
      <c r="AB115">
        <f>IFERROR(INDEX(RateTables!$L$31:$L$33,MATCH(Policies!K115,RateTables!$K$31:$K$33,0)),1)</f>
        <v/>
      </c>
      <c r="AC115">
        <f>ROUND(F115*D115*J115*AA115*AB115,2)</f>
        <v/>
      </c>
      <c r="AD115">
        <f>MIN(AC115,Policies!G115*HurrCapPct)</f>
        <v/>
      </c>
      <c r="AE115">
        <f>Y115+AD115</f>
        <v/>
      </c>
      <c r="AF115" s="1">
        <f>EDATE(Policies!M115,Policies!N115)</f>
        <v/>
      </c>
      <c r="AG115">
        <f>ROUND(YEARFRAC(Policies!M115,AF115,3),4)</f>
        <v/>
      </c>
      <c r="AH115">
        <f>ROUND(AE115*AG115,2)</f>
        <v/>
      </c>
      <c r="AI115">
        <f>MAX(AH115,MinPremium)</f>
        <v/>
      </c>
      <c r="AJ115">
        <f>ROUNDUP(AI115,0)</f>
        <v/>
      </c>
      <c r="AK115">
        <f>VLOOKUP(Policies!N115,FeeTable,2,FALSE)</f>
        <v/>
      </c>
      <c r="AL115">
        <f>ROUND(AJ115*AssessRate,2)</f>
        <v/>
      </c>
      <c r="AM115">
        <f>ROUND((AJ115+AK115)*G115,2)</f>
        <v/>
      </c>
      <c r="AN115">
        <f>AJ115+AK115+AL115+AM115</f>
        <v/>
      </c>
      <c r="AO115">
        <f>IF(OR(Policies!G115&gt;1000000,C115&gt;20,Policies!L115&gt;=3),"REFER","OK")</f>
        <v/>
      </c>
      <c r="AP115">
        <f>ROUND(AH115/D115,3)</f>
        <v/>
      </c>
      <c r="AQ115">
        <f>Policies!B115&amp;"-"&amp;LEFT(Policies!C115,1)&amp;TEXT(Policies!D115,"00")</f>
        <v/>
      </c>
    </row>
    <row r="116">
      <c r="A116">
        <f>Policies!A116</f>
        <v/>
      </c>
      <c r="B116">
        <f>IFERROR(DATEDIF(DATE(Policies!E116,1,1),Policies!M116,"y"),0)</f>
        <v/>
      </c>
      <c r="C116">
        <f>Policies!F116*1</f>
        <v/>
      </c>
      <c r="D116">
        <f>Policies!G116/1000</f>
        <v/>
      </c>
      <c r="E116">
        <f>VLOOKUP(Policies!B116,BaseRates,2,FALSE)</f>
        <v/>
      </c>
      <c r="F116">
        <f>VLOOKUP(Policies!B116,BaseRates,3,FALSE)</f>
        <v/>
      </c>
      <c r="G116">
        <f>VLOOKUP(Policies!B116,BaseRates,4,FALSE)</f>
        <v/>
      </c>
      <c r="H116">
        <f>ROUND(E116*D116,2)</f>
        <v/>
      </c>
      <c r="I116">
        <f>INDEX(RateTables!$B$13:$B$16,MATCH(Policies!C116,RateTables!$A$13:$A$16,0))</f>
        <v/>
      </c>
      <c r="J116">
        <f>INDEX(RateTables!$C$13:$C$16,MATCH(Policies!C116,RateTables!$A$13:$A$16,0))</f>
        <v/>
      </c>
      <c r="K116">
        <f>INDEX(RateTables!$B$19:$C$28,MATCH(Policies!D116,RateTables!$A$19:$A$28,0),IF(Policies!C116="Frame",1,2))</f>
        <v/>
      </c>
      <c r="L116">
        <f>VLOOKUP(B116,AgeBands,2,TRUE)</f>
        <v/>
      </c>
      <c r="M116">
        <f>VLOOKUP(C116,RoofBands,2,TRUE)</f>
        <v/>
      </c>
      <c r="N116">
        <f>VLOOKUP(Policies!G116,AOIBands,2,TRUE)</f>
        <v/>
      </c>
      <c r="O116">
        <f>VLOOKUP(Policies!H116,RateTables!$A$31:$B$35,2,TRUE)</f>
        <v/>
      </c>
      <c r="P116">
        <f>VLOOKUP(MIN(Policies!L116,3),ClaimsTable,2,FALSE)</f>
        <v/>
      </c>
      <c r="Q116">
        <f>ROUND(H116*I116*K116*L116*M116*N116*O116*P116,2)</f>
        <v/>
      </c>
      <c r="R116">
        <f>IF(Policies!J116="Y",1,0)</f>
        <v/>
      </c>
      <c r="S116">
        <f>IF(AND(Policies!L116=0,B116&gt;=3),1,0)</f>
        <v/>
      </c>
      <c r="T116">
        <f>IF(B116&lt;=5,1,0)</f>
        <v/>
      </c>
      <c r="U116">
        <f>IF(Policies!K116="Basic",1,0)</f>
        <v/>
      </c>
      <c r="V116">
        <f>IF(Policies!K116="Fortified",1,0)</f>
        <v/>
      </c>
      <c r="W116">
        <f>SUMPRODUCT(R116:V116,CreditPcts)</f>
        <v/>
      </c>
      <c r="X116">
        <f>MIN(W116,CreditCap)</f>
        <v/>
      </c>
      <c r="Y116">
        <f>ROUND(Q116*(1-X116),2)</f>
        <v/>
      </c>
      <c r="Z116">
        <f>IF(Policies!I116="",0.02,Policies!I116)</f>
        <v/>
      </c>
      <c r="AA116">
        <f>IFERROR(VLOOKUP(Z116,HurrDedTable,2,FALSE),1)</f>
        <v/>
      </c>
      <c r="AB116">
        <f>IFERROR(INDEX(RateTables!$L$31:$L$33,MATCH(Policies!K116,RateTables!$K$31:$K$33,0)),1)</f>
        <v/>
      </c>
      <c r="AC116">
        <f>ROUND(F116*D116*J116*AA116*AB116,2)</f>
        <v/>
      </c>
      <c r="AD116">
        <f>MIN(AC116,Policies!G116*HurrCapPct)</f>
        <v/>
      </c>
      <c r="AE116">
        <f>Y116+AD116</f>
        <v/>
      </c>
      <c r="AF116" s="1">
        <f>EDATE(Policies!M116,Policies!N116)</f>
        <v/>
      </c>
      <c r="AG116">
        <f>ROUND(YEARFRAC(Policies!M116,AF116,3),4)</f>
        <v/>
      </c>
      <c r="AH116">
        <f>ROUND(AE116*AG116,2)</f>
        <v/>
      </c>
      <c r="AI116">
        <f>MAX(AH116,MinPremium)</f>
        <v/>
      </c>
      <c r="AJ116">
        <f>ROUNDUP(AI116,0)</f>
        <v/>
      </c>
      <c r="AK116">
        <f>VLOOKUP(Policies!N116,FeeTable,2,FALSE)</f>
        <v/>
      </c>
      <c r="AL116">
        <f>ROUND(AJ116*AssessRate,2)</f>
        <v/>
      </c>
      <c r="AM116">
        <f>ROUND((AJ116+AK116)*G116,2)</f>
        <v/>
      </c>
      <c r="AN116">
        <f>AJ116+AK116+AL116+AM116</f>
        <v/>
      </c>
      <c r="AO116">
        <f>IF(OR(Policies!G116&gt;1000000,C116&gt;20,Policies!L116&gt;=3),"REFER","OK")</f>
        <v/>
      </c>
      <c r="AP116">
        <f>ROUND(AH116/D116,3)</f>
        <v/>
      </c>
      <c r="AQ116">
        <f>Policies!B116&amp;"-"&amp;LEFT(Policies!C116,1)&amp;TEXT(Policies!D116,"00")</f>
        <v/>
      </c>
    </row>
    <row r="117">
      <c r="A117">
        <f>Policies!A117</f>
        <v/>
      </c>
      <c r="B117">
        <f>IFERROR(DATEDIF(DATE(Policies!E117,1,1),Policies!M117,"y"),0)</f>
        <v/>
      </c>
      <c r="C117">
        <f>Policies!F117*1</f>
        <v/>
      </c>
      <c r="D117">
        <f>Policies!G117/1000</f>
        <v/>
      </c>
      <c r="E117">
        <f>VLOOKUP(Policies!B117,BaseRates,2,FALSE)</f>
        <v/>
      </c>
      <c r="F117">
        <f>VLOOKUP(Policies!B117,BaseRates,3,FALSE)</f>
        <v/>
      </c>
      <c r="G117">
        <f>VLOOKUP(Policies!B117,BaseRates,4,FALSE)</f>
        <v/>
      </c>
      <c r="H117">
        <f>ROUND(E117*D117,2)</f>
        <v/>
      </c>
      <c r="I117">
        <f>INDEX(RateTables!$B$13:$B$16,MATCH(Policies!C117,RateTables!$A$13:$A$16,0))</f>
        <v/>
      </c>
      <c r="J117">
        <f>INDEX(RateTables!$C$13:$C$16,MATCH(Policies!C117,RateTables!$A$13:$A$16,0))</f>
        <v/>
      </c>
      <c r="K117">
        <f>INDEX(RateTables!$B$19:$C$28,MATCH(Policies!D117,RateTables!$A$19:$A$28,0),IF(Policies!C117="Frame",1,2))</f>
        <v/>
      </c>
      <c r="L117">
        <f>VLOOKUP(B117,AgeBands,2,TRUE)</f>
        <v/>
      </c>
      <c r="M117">
        <f>VLOOKUP(C117,RoofBands,2,TRUE)</f>
        <v/>
      </c>
      <c r="N117">
        <f>VLOOKUP(Policies!G117,AOIBands,2,TRUE)</f>
        <v/>
      </c>
      <c r="O117">
        <f>VLOOKUP(Policies!H117,RateTables!$A$31:$B$35,2,TRUE)</f>
        <v/>
      </c>
      <c r="P117">
        <f>VLOOKUP(MIN(Policies!L117,3),ClaimsTable,2,FALSE)</f>
        <v/>
      </c>
      <c r="Q117">
        <f>ROUND(H117*I117*K117*L117*M117*N117*O117*P117,2)</f>
        <v/>
      </c>
      <c r="R117">
        <f>IF(Policies!J117="Y",1,0)</f>
        <v/>
      </c>
      <c r="S117">
        <f>IF(AND(Policies!L117=0,B117&gt;=3),1,0)</f>
        <v/>
      </c>
      <c r="T117">
        <f>IF(B117&lt;=5,1,0)</f>
        <v/>
      </c>
      <c r="U117">
        <f>IF(Policies!K117="Basic",1,0)</f>
        <v/>
      </c>
      <c r="V117">
        <f>IF(Policies!K117="Fortified",1,0)</f>
        <v/>
      </c>
      <c r="W117">
        <f>SUMPRODUCT(R117:V117,CreditPcts)</f>
        <v/>
      </c>
      <c r="X117">
        <f>MIN(W117,CreditCap)</f>
        <v/>
      </c>
      <c r="Y117">
        <f>ROUND(Q117*(1-X117),2)</f>
        <v/>
      </c>
      <c r="Z117">
        <f>IF(Policies!I117="",0.02,Policies!I117)</f>
        <v/>
      </c>
      <c r="AA117">
        <f>IFERROR(VLOOKUP(Z117,HurrDedTable,2,FALSE),1)</f>
        <v/>
      </c>
      <c r="AB117">
        <f>IFERROR(INDEX(RateTables!$L$31:$L$33,MATCH(Policies!K117,RateTables!$K$31:$K$33,0)),1)</f>
        <v/>
      </c>
      <c r="AC117">
        <f>ROUND(F117*D117*J117*AA117*AB117,2)</f>
        <v/>
      </c>
      <c r="AD117">
        <f>MIN(AC117,Policies!G117*HurrCapPct)</f>
        <v/>
      </c>
      <c r="AE117">
        <f>Y117+AD117</f>
        <v/>
      </c>
      <c r="AF117" s="1">
        <f>EDATE(Policies!M117,Policies!N117)</f>
        <v/>
      </c>
      <c r="AG117">
        <f>ROUND(YEARFRAC(Policies!M117,AF117,3),4)</f>
        <v/>
      </c>
      <c r="AH117">
        <f>ROUND(AE117*AG117,2)</f>
        <v/>
      </c>
      <c r="AI117">
        <f>MAX(AH117,MinPremium)</f>
        <v/>
      </c>
      <c r="AJ117">
        <f>ROUNDUP(AI117,0)</f>
        <v/>
      </c>
      <c r="AK117">
        <f>VLOOKUP(Policies!N117,FeeTable,2,FALSE)</f>
        <v/>
      </c>
      <c r="AL117">
        <f>ROUND(AJ117*AssessRate,2)</f>
        <v/>
      </c>
      <c r="AM117">
        <f>ROUND((AJ117+AK117)*G117,2)</f>
        <v/>
      </c>
      <c r="AN117">
        <f>AJ117+AK117+AL117+AM117</f>
        <v/>
      </c>
      <c r="AO117">
        <f>IF(OR(Policies!G117&gt;1000000,C117&gt;20,Policies!L117&gt;=3),"REFER","OK")</f>
        <v/>
      </c>
      <c r="AP117">
        <f>ROUND(AH117/D117,3)</f>
        <v/>
      </c>
      <c r="AQ117">
        <f>Policies!B117&amp;"-"&amp;LEFT(Policies!C117,1)&amp;TEXT(Policies!D117,"00")</f>
        <v/>
      </c>
    </row>
    <row r="118">
      <c r="A118">
        <f>Policies!A118</f>
        <v/>
      </c>
      <c r="B118">
        <f>IFERROR(DATEDIF(DATE(Policies!E118,1,1),Policies!M118,"y"),0)</f>
        <v/>
      </c>
      <c r="C118">
        <f>Policies!F118*1</f>
        <v/>
      </c>
      <c r="D118">
        <f>Policies!G118/1000</f>
        <v/>
      </c>
      <c r="E118">
        <f>VLOOKUP(Policies!B118,BaseRates,2,FALSE)</f>
        <v/>
      </c>
      <c r="F118">
        <f>VLOOKUP(Policies!B118,BaseRates,3,FALSE)</f>
        <v/>
      </c>
      <c r="G118">
        <f>VLOOKUP(Policies!B118,BaseRates,4,FALSE)</f>
        <v/>
      </c>
      <c r="H118">
        <f>ROUND(E118*D118,2)</f>
        <v/>
      </c>
      <c r="I118">
        <f>INDEX(RateTables!$B$13:$B$16,MATCH(Policies!C118,RateTables!$A$13:$A$16,0))</f>
        <v/>
      </c>
      <c r="J118">
        <f>INDEX(RateTables!$C$13:$C$16,MATCH(Policies!C118,RateTables!$A$13:$A$16,0))</f>
        <v/>
      </c>
      <c r="K118">
        <f>INDEX(RateTables!$B$19:$C$28,MATCH(Policies!D118,RateTables!$A$19:$A$28,0),IF(Policies!C118="Frame",1,2))</f>
        <v/>
      </c>
      <c r="L118">
        <f>VLOOKUP(B118,AgeBands,2,TRUE)</f>
        <v/>
      </c>
      <c r="M118">
        <f>VLOOKUP(C118,RoofBands,2,TRUE)</f>
        <v/>
      </c>
      <c r="N118">
        <f>VLOOKUP(Policies!G118,AOIBands,2,TRUE)</f>
        <v/>
      </c>
      <c r="O118">
        <f>VLOOKUP(Policies!H118,RateTables!$A$31:$B$35,2,TRUE)</f>
        <v/>
      </c>
      <c r="P118">
        <f>VLOOKUP(MIN(Policies!L118,3),ClaimsTable,2,FALSE)</f>
        <v/>
      </c>
      <c r="Q118">
        <f>ROUND(H118*I118*K118*L118*M118*N118*O118*P118,2)</f>
        <v/>
      </c>
      <c r="R118">
        <f>IF(Policies!J118="Y",1,0)</f>
        <v/>
      </c>
      <c r="S118">
        <f>IF(AND(Policies!L118=0,B118&gt;=3),1,0)</f>
        <v/>
      </c>
      <c r="T118">
        <f>IF(B118&lt;=5,1,0)</f>
        <v/>
      </c>
      <c r="U118">
        <f>IF(Policies!K118="Basic",1,0)</f>
        <v/>
      </c>
      <c r="V118">
        <f>IF(Policies!K118="Fortified",1,0)</f>
        <v/>
      </c>
      <c r="W118">
        <f>SUMPRODUCT(R118:V118,CreditPcts)</f>
        <v/>
      </c>
      <c r="X118">
        <f>MIN(W118,CreditCap)</f>
        <v/>
      </c>
      <c r="Y118">
        <f>ROUND(Q118*(1-X118),2)</f>
        <v/>
      </c>
      <c r="Z118">
        <f>IF(Policies!I118="",0.02,Policies!I118)</f>
        <v/>
      </c>
      <c r="AA118">
        <f>IFERROR(VLOOKUP(Z118,HurrDedTable,2,FALSE),1)</f>
        <v/>
      </c>
      <c r="AB118">
        <f>IFERROR(INDEX(RateTables!$L$31:$L$33,MATCH(Policies!K118,RateTables!$K$31:$K$33,0)),1)</f>
        <v/>
      </c>
      <c r="AC118">
        <f>ROUND(F118*D118*J118*AA118*AB118,2)</f>
        <v/>
      </c>
      <c r="AD118">
        <f>MIN(AC118,Policies!G118*HurrCapPct)</f>
        <v/>
      </c>
      <c r="AE118">
        <f>Y118+AD118</f>
        <v/>
      </c>
      <c r="AF118" s="1">
        <f>EDATE(Policies!M118,Policies!N118)</f>
        <v/>
      </c>
      <c r="AG118">
        <f>ROUND(YEARFRAC(Policies!M118,AF118,3),4)</f>
        <v/>
      </c>
      <c r="AH118">
        <f>ROUND(AE118*AG118,2)</f>
        <v/>
      </c>
      <c r="AI118">
        <f>MAX(AH118,MinPremium)</f>
        <v/>
      </c>
      <c r="AJ118">
        <f>ROUNDUP(AI118,0)</f>
        <v/>
      </c>
      <c r="AK118">
        <f>VLOOKUP(Policies!N118,FeeTable,2,FALSE)</f>
        <v/>
      </c>
      <c r="AL118">
        <f>ROUND(AJ118*AssessRate,2)</f>
        <v/>
      </c>
      <c r="AM118">
        <f>ROUND((AJ118+AK118)*G118,2)</f>
        <v/>
      </c>
      <c r="AN118">
        <f>AJ118+AK118+AL118+AM118</f>
        <v/>
      </c>
      <c r="AO118">
        <f>IF(OR(Policies!G118&gt;1000000,C118&gt;20,Policies!L118&gt;=3),"REFER","OK")</f>
        <v/>
      </c>
      <c r="AP118">
        <f>ROUND(AH118/D118,3)</f>
        <v/>
      </c>
      <c r="AQ118">
        <f>Policies!B118&amp;"-"&amp;LEFT(Policies!C118,1)&amp;TEXT(Policies!D118,"00")</f>
        <v/>
      </c>
    </row>
    <row r="119">
      <c r="A119">
        <f>Policies!A119</f>
        <v/>
      </c>
      <c r="B119">
        <f>IFERROR(DATEDIF(DATE(Policies!E119,1,1),Policies!M119,"y"),0)</f>
        <v/>
      </c>
      <c r="C119">
        <f>Policies!F119*1</f>
        <v/>
      </c>
      <c r="D119">
        <f>Policies!G119/1000</f>
        <v/>
      </c>
      <c r="E119">
        <f>VLOOKUP(Policies!B119,BaseRates,2,FALSE)</f>
        <v/>
      </c>
      <c r="F119">
        <f>VLOOKUP(Policies!B119,BaseRates,3,FALSE)</f>
        <v/>
      </c>
      <c r="G119">
        <f>VLOOKUP(Policies!B119,BaseRates,4,FALSE)</f>
        <v/>
      </c>
      <c r="H119">
        <f>ROUND(E119*D119,2)</f>
        <v/>
      </c>
      <c r="I119">
        <f>INDEX(RateTables!$B$13:$B$16,MATCH(Policies!C119,RateTables!$A$13:$A$16,0))</f>
        <v/>
      </c>
      <c r="J119">
        <f>INDEX(RateTables!$C$13:$C$16,MATCH(Policies!C119,RateTables!$A$13:$A$16,0))</f>
        <v/>
      </c>
      <c r="K119">
        <f>INDEX(RateTables!$B$19:$C$28,MATCH(Policies!D119,RateTables!$A$19:$A$28,0),IF(Policies!C119="Frame",1,2))</f>
        <v/>
      </c>
      <c r="L119">
        <f>VLOOKUP(B119,AgeBands,2,TRUE)</f>
        <v/>
      </c>
      <c r="M119">
        <f>VLOOKUP(C119,RoofBands,2,TRUE)</f>
        <v/>
      </c>
      <c r="N119">
        <f>VLOOKUP(Policies!G119,AOIBands,2,TRUE)</f>
        <v/>
      </c>
      <c r="O119">
        <f>VLOOKUP(Policies!H119,RateTables!$A$31:$B$35,2,TRUE)</f>
        <v/>
      </c>
      <c r="P119">
        <f>VLOOKUP(MIN(Policies!L119,3),ClaimsTable,2,FALSE)</f>
        <v/>
      </c>
      <c r="Q119">
        <f>ROUND(H119*I119*K119*L119*M119*N119*O119*P119,2)</f>
        <v/>
      </c>
      <c r="R119">
        <f>IF(Policies!J119="Y",1,0)</f>
        <v/>
      </c>
      <c r="S119">
        <f>IF(AND(Policies!L119=0,B119&gt;=3),1,0)</f>
        <v/>
      </c>
      <c r="T119">
        <f>IF(B119&lt;=5,1,0)</f>
        <v/>
      </c>
      <c r="U119">
        <f>IF(Policies!K119="Basic",1,0)</f>
        <v/>
      </c>
      <c r="V119">
        <f>IF(Policies!K119="Fortified",1,0)</f>
        <v/>
      </c>
      <c r="W119">
        <f>SUMPRODUCT(R119:V119,CreditPcts)</f>
        <v/>
      </c>
      <c r="X119">
        <f>MIN(W119,CreditCap)</f>
        <v/>
      </c>
      <c r="Y119">
        <f>ROUND(Q119*(1-X119),2)</f>
        <v/>
      </c>
      <c r="Z119">
        <f>IF(Policies!I119="",0.02,Policies!I119)</f>
        <v/>
      </c>
      <c r="AA119">
        <f>IFERROR(VLOOKUP(Z119,HurrDedTable,2,FALSE),1)</f>
        <v/>
      </c>
      <c r="AB119">
        <f>IFERROR(INDEX(RateTables!$L$31:$L$33,MATCH(Policies!K119,RateTables!$K$31:$K$33,0)),1)</f>
        <v/>
      </c>
      <c r="AC119">
        <f>ROUND(F119*D119*J119*AA119*AB119,2)</f>
        <v/>
      </c>
      <c r="AD119">
        <f>MIN(AC119,Policies!G119*HurrCapPct)</f>
        <v/>
      </c>
      <c r="AE119">
        <f>Y119+AD119</f>
        <v/>
      </c>
      <c r="AF119" s="1">
        <f>EDATE(Policies!M119,Policies!N119)</f>
        <v/>
      </c>
      <c r="AG119">
        <f>ROUND(YEARFRAC(Policies!M119,AF119,3),4)</f>
        <v/>
      </c>
      <c r="AH119">
        <f>ROUND(AE119*AG119,2)</f>
        <v/>
      </c>
      <c r="AI119">
        <f>MAX(AH119,MinPremium)</f>
        <v/>
      </c>
      <c r="AJ119">
        <f>ROUNDUP(AI119,0)</f>
        <v/>
      </c>
      <c r="AK119">
        <f>VLOOKUP(Policies!N119,FeeTable,2,FALSE)</f>
        <v/>
      </c>
      <c r="AL119">
        <f>ROUND(AJ119*AssessRate,2)</f>
        <v/>
      </c>
      <c r="AM119">
        <f>ROUND((AJ119+AK119)*G119,2)</f>
        <v/>
      </c>
      <c r="AN119">
        <f>AJ119+AK119+AL119+AM119</f>
        <v/>
      </c>
      <c r="AO119">
        <f>IF(OR(Policies!G119&gt;1000000,C119&gt;20,Policies!L119&gt;=3),"REFER","OK")</f>
        <v/>
      </c>
      <c r="AP119">
        <f>ROUND(AH119/D119,3)</f>
        <v/>
      </c>
      <c r="AQ119">
        <f>Policies!B119&amp;"-"&amp;LEFT(Policies!C119,1)&amp;TEXT(Policies!D119,"00")</f>
        <v/>
      </c>
    </row>
    <row r="120">
      <c r="A120">
        <f>Policies!A120</f>
        <v/>
      </c>
      <c r="B120">
        <f>IFERROR(DATEDIF(DATE(Policies!E120,1,1),Policies!M120,"y"),0)</f>
        <v/>
      </c>
      <c r="C120">
        <f>Policies!F120*1</f>
        <v/>
      </c>
      <c r="D120">
        <f>Policies!G120/1000</f>
        <v/>
      </c>
      <c r="E120">
        <f>VLOOKUP(Policies!B120,BaseRates,2,FALSE)</f>
        <v/>
      </c>
      <c r="F120">
        <f>VLOOKUP(Policies!B120,BaseRates,3,FALSE)</f>
        <v/>
      </c>
      <c r="G120">
        <f>VLOOKUP(Policies!B120,BaseRates,4,FALSE)</f>
        <v/>
      </c>
      <c r="H120">
        <f>ROUND(E120*D120,2)</f>
        <v/>
      </c>
      <c r="I120">
        <f>INDEX(RateTables!$B$13:$B$16,MATCH(Policies!C120,RateTables!$A$13:$A$16,0))</f>
        <v/>
      </c>
      <c r="J120">
        <f>INDEX(RateTables!$C$13:$C$16,MATCH(Policies!C120,RateTables!$A$13:$A$16,0))</f>
        <v/>
      </c>
      <c r="K120">
        <f>INDEX(RateTables!$B$19:$C$28,MATCH(Policies!D120,RateTables!$A$19:$A$28,0),IF(Policies!C120="Frame",1,2))</f>
        <v/>
      </c>
      <c r="L120">
        <f>VLOOKUP(B120,AgeBands,2,TRUE)</f>
        <v/>
      </c>
      <c r="M120">
        <f>VLOOKUP(C120,RoofBands,2,TRUE)</f>
        <v/>
      </c>
      <c r="N120">
        <f>VLOOKUP(Policies!G120,AOIBands,2,TRUE)</f>
        <v/>
      </c>
      <c r="O120">
        <f>VLOOKUP(Policies!H120,RateTables!$A$31:$B$35,2,TRUE)</f>
        <v/>
      </c>
      <c r="P120">
        <f>VLOOKUP(MIN(Policies!L120,3),ClaimsTable,2,FALSE)</f>
        <v/>
      </c>
      <c r="Q120">
        <f>ROUND(H120*I120*K120*L120*M120*N120*O120*P120,2)</f>
        <v/>
      </c>
      <c r="R120">
        <f>IF(Policies!J120="Y",1,0)</f>
        <v/>
      </c>
      <c r="S120">
        <f>IF(AND(Policies!L120=0,B120&gt;=3),1,0)</f>
        <v/>
      </c>
      <c r="T120">
        <f>IF(B120&lt;=5,1,0)</f>
        <v/>
      </c>
      <c r="U120">
        <f>IF(Policies!K120="Basic",1,0)</f>
        <v/>
      </c>
      <c r="V120">
        <f>IF(Policies!K120="Fortified",1,0)</f>
        <v/>
      </c>
      <c r="W120">
        <f>SUMPRODUCT(R120:V120,CreditPcts)</f>
        <v/>
      </c>
      <c r="X120">
        <f>MIN(W120,CreditCap)</f>
        <v/>
      </c>
      <c r="Y120">
        <f>ROUND(Q120*(1-X120),2)</f>
        <v/>
      </c>
      <c r="Z120">
        <f>IF(Policies!I120="",0.02,Policies!I120)</f>
        <v/>
      </c>
      <c r="AA120">
        <f>IFERROR(VLOOKUP(Z120,HurrDedTable,2,FALSE),1)</f>
        <v/>
      </c>
      <c r="AB120">
        <f>IFERROR(INDEX(RateTables!$L$31:$L$33,MATCH(Policies!K120,RateTables!$K$31:$K$33,0)),1)</f>
        <v/>
      </c>
      <c r="AC120">
        <f>ROUND(F120*D120*J120*AA120*AB120,2)</f>
        <v/>
      </c>
      <c r="AD120">
        <f>MIN(AC120,Policies!G120*HurrCapPct)</f>
        <v/>
      </c>
      <c r="AE120">
        <f>Y120+AD120</f>
        <v/>
      </c>
      <c r="AF120" s="1">
        <f>EDATE(Policies!M120,Policies!N120)</f>
        <v/>
      </c>
      <c r="AG120">
        <f>ROUND(YEARFRAC(Policies!M120,AF120,3),4)</f>
        <v/>
      </c>
      <c r="AH120">
        <f>ROUND(AE120*AG120,2)</f>
        <v/>
      </c>
      <c r="AI120">
        <f>MAX(AH120,MinPremium)</f>
        <v/>
      </c>
      <c r="AJ120">
        <f>ROUNDUP(AI120,0)</f>
        <v/>
      </c>
      <c r="AK120">
        <f>VLOOKUP(Policies!N120,FeeTable,2,FALSE)</f>
        <v/>
      </c>
      <c r="AL120">
        <f>ROUND(AJ120*AssessRate,2)</f>
        <v/>
      </c>
      <c r="AM120">
        <f>ROUND((AJ120+AK120)*G120,2)</f>
        <v/>
      </c>
      <c r="AN120">
        <f>AJ120+AK120+AL120+AM120</f>
        <v/>
      </c>
      <c r="AO120">
        <f>IF(OR(Policies!G120&gt;1000000,C120&gt;20,Policies!L120&gt;=3),"REFER","OK")</f>
        <v/>
      </c>
      <c r="AP120">
        <f>ROUND(AH120/D120,3)</f>
        <v/>
      </c>
      <c r="AQ120">
        <f>Policies!B120&amp;"-"&amp;LEFT(Policies!C120,1)&amp;TEXT(Policies!D120,"00")</f>
        <v/>
      </c>
    </row>
    <row r="121">
      <c r="A121">
        <f>Policies!A121</f>
        <v/>
      </c>
      <c r="B121">
        <f>IFERROR(DATEDIF(DATE(Policies!E121,1,1),Policies!M121,"y"),0)</f>
        <v/>
      </c>
      <c r="C121">
        <f>Policies!F121*1</f>
        <v/>
      </c>
      <c r="D121">
        <f>Policies!G121/1000</f>
        <v/>
      </c>
      <c r="E121">
        <f>VLOOKUP(Policies!B121,BaseRates,2,FALSE)</f>
        <v/>
      </c>
      <c r="F121">
        <f>VLOOKUP(Policies!B121,BaseRates,3,FALSE)</f>
        <v/>
      </c>
      <c r="G121">
        <f>VLOOKUP(Policies!B121,BaseRates,4,FALSE)</f>
        <v/>
      </c>
      <c r="H121">
        <f>ROUND(E121*D121,2)</f>
        <v/>
      </c>
      <c r="I121">
        <f>INDEX(RateTables!$B$13:$B$16,MATCH(Policies!C121,RateTables!$A$13:$A$16,0))</f>
        <v/>
      </c>
      <c r="J121">
        <f>INDEX(RateTables!$C$13:$C$16,MATCH(Policies!C121,RateTables!$A$13:$A$16,0))</f>
        <v/>
      </c>
      <c r="K121">
        <f>INDEX(RateTables!$B$19:$C$28,MATCH(Policies!D121,RateTables!$A$19:$A$28,0),IF(Policies!C121="Frame",1,2))</f>
        <v/>
      </c>
      <c r="L121">
        <f>VLOOKUP(B121,AgeBands,2,TRUE)</f>
        <v/>
      </c>
      <c r="M121">
        <f>VLOOKUP(C121,RoofBands,2,TRUE)</f>
        <v/>
      </c>
      <c r="N121">
        <f>VLOOKUP(Policies!G121,AOIBands,2,TRUE)</f>
        <v/>
      </c>
      <c r="O121">
        <f>VLOOKUP(Policies!H121,RateTables!$A$31:$B$35,2,TRUE)</f>
        <v/>
      </c>
      <c r="P121">
        <f>VLOOKUP(MIN(Policies!L121,3),ClaimsTable,2,FALSE)</f>
        <v/>
      </c>
      <c r="Q121">
        <f>ROUND(H121*I121*K121*L121*M121*N121*O121*P121,2)</f>
        <v/>
      </c>
      <c r="R121">
        <f>IF(Policies!J121="Y",1,0)</f>
        <v/>
      </c>
      <c r="S121">
        <f>IF(AND(Policies!L121=0,B121&gt;=3),1,0)</f>
        <v/>
      </c>
      <c r="T121">
        <f>IF(B121&lt;=5,1,0)</f>
        <v/>
      </c>
      <c r="U121">
        <f>IF(Policies!K121="Basic",1,0)</f>
        <v/>
      </c>
      <c r="V121">
        <f>IF(Policies!K121="Fortified",1,0)</f>
        <v/>
      </c>
      <c r="W121">
        <f>SUMPRODUCT(R121:V121,CreditPcts)</f>
        <v/>
      </c>
      <c r="X121">
        <f>MIN(W121,CreditCap)</f>
        <v/>
      </c>
      <c r="Y121">
        <f>ROUND(Q121*(1-X121),2)</f>
        <v/>
      </c>
      <c r="Z121">
        <f>IF(Policies!I121="",0.02,Policies!I121)</f>
        <v/>
      </c>
      <c r="AA121">
        <f>IFERROR(VLOOKUP(Z121,HurrDedTable,2,FALSE),1)</f>
        <v/>
      </c>
      <c r="AB121">
        <f>IFERROR(INDEX(RateTables!$L$31:$L$33,MATCH(Policies!K121,RateTables!$K$31:$K$33,0)),1)</f>
        <v/>
      </c>
      <c r="AC121">
        <f>ROUND(F121*D121*J121*AA121*AB121,2)</f>
        <v/>
      </c>
      <c r="AD121">
        <f>MIN(AC121,Policies!G121*HurrCapPct)</f>
        <v/>
      </c>
      <c r="AE121">
        <f>Y121+AD121</f>
        <v/>
      </c>
      <c r="AF121" s="1">
        <f>EDATE(Policies!M121,Policies!N121)</f>
        <v/>
      </c>
      <c r="AG121">
        <f>ROUND(YEARFRAC(Policies!M121,AF121,3),4)</f>
        <v/>
      </c>
      <c r="AH121">
        <f>ROUND(AE121*AG121,2)</f>
        <v/>
      </c>
      <c r="AI121">
        <f>MAX(AH121,MinPremium)</f>
        <v/>
      </c>
      <c r="AJ121">
        <f>ROUNDUP(AI121,0)</f>
        <v/>
      </c>
      <c r="AK121">
        <f>VLOOKUP(Policies!N121,FeeTable,2,FALSE)</f>
        <v/>
      </c>
      <c r="AL121">
        <f>ROUND(AJ121*AssessRate,2)</f>
        <v/>
      </c>
      <c r="AM121">
        <f>ROUND((AJ121+AK121)*G121,2)</f>
        <v/>
      </c>
      <c r="AN121">
        <f>AJ121+AK121+AL121+AM121</f>
        <v/>
      </c>
      <c r="AO121">
        <f>IF(OR(Policies!G121&gt;1000000,C121&gt;20,Policies!L121&gt;=3),"REFER","OK")</f>
        <v/>
      </c>
      <c r="AP121">
        <f>ROUND(AH121/D121,3)</f>
        <v/>
      </c>
      <c r="AQ121">
        <f>Policies!B121&amp;"-"&amp;LEFT(Policies!C121,1)&amp;TEXT(Policies!D121,"00")</f>
        <v/>
      </c>
    </row>
    <row r="122">
      <c r="A122">
        <f>Policies!A122</f>
        <v/>
      </c>
      <c r="B122">
        <f>IFERROR(DATEDIF(DATE(Policies!E122,1,1),Policies!M122,"y"),0)</f>
        <v/>
      </c>
      <c r="C122">
        <f>Policies!F122*1</f>
        <v/>
      </c>
      <c r="D122">
        <f>Policies!G122/1000</f>
        <v/>
      </c>
      <c r="E122">
        <f>VLOOKUP(Policies!B122,BaseRates,2,FALSE)</f>
        <v/>
      </c>
      <c r="F122">
        <f>VLOOKUP(Policies!B122,BaseRates,3,FALSE)</f>
        <v/>
      </c>
      <c r="G122">
        <f>VLOOKUP(Policies!B122,BaseRates,4,FALSE)</f>
        <v/>
      </c>
      <c r="H122">
        <f>ROUND(E122*D122,2)</f>
        <v/>
      </c>
      <c r="I122">
        <f>INDEX(RateTables!$B$13:$B$16,MATCH(Policies!C122,RateTables!$A$13:$A$16,0))</f>
        <v/>
      </c>
      <c r="J122">
        <f>INDEX(RateTables!$C$13:$C$16,MATCH(Policies!C122,RateTables!$A$13:$A$16,0))</f>
        <v/>
      </c>
      <c r="K122">
        <f>INDEX(RateTables!$B$19:$C$28,MATCH(Policies!D122,RateTables!$A$19:$A$28,0),IF(Policies!C122="Frame",1,2))</f>
        <v/>
      </c>
      <c r="L122">
        <f>VLOOKUP(B122,AgeBands,2,TRUE)</f>
        <v/>
      </c>
      <c r="M122">
        <f>VLOOKUP(C122,RoofBands,2,TRUE)</f>
        <v/>
      </c>
      <c r="N122">
        <f>VLOOKUP(Policies!G122,AOIBands,2,TRUE)</f>
        <v/>
      </c>
      <c r="O122">
        <f>VLOOKUP(Policies!H122,RateTables!$A$31:$B$35,2,TRUE)</f>
        <v/>
      </c>
      <c r="P122">
        <f>VLOOKUP(MIN(Policies!L122,3),ClaimsTable,2,FALSE)</f>
        <v/>
      </c>
      <c r="Q122">
        <f>ROUND(H122*I122*K122*L122*M122*N122*O122*P122,2)</f>
        <v/>
      </c>
      <c r="R122">
        <f>IF(Policies!J122="Y",1,0)</f>
        <v/>
      </c>
      <c r="S122">
        <f>IF(AND(Policies!L122=0,B122&gt;=3),1,0)</f>
        <v/>
      </c>
      <c r="T122">
        <f>IF(B122&lt;=5,1,0)</f>
        <v/>
      </c>
      <c r="U122">
        <f>IF(Policies!K122="Basic",1,0)</f>
        <v/>
      </c>
      <c r="V122">
        <f>IF(Policies!K122="Fortified",1,0)</f>
        <v/>
      </c>
      <c r="W122">
        <f>SUMPRODUCT(R122:V122,CreditPcts)</f>
        <v/>
      </c>
      <c r="X122">
        <f>MIN(W122,CreditCap)</f>
        <v/>
      </c>
      <c r="Y122">
        <f>ROUND(Q122*(1-X122),2)</f>
        <v/>
      </c>
      <c r="Z122">
        <f>IF(Policies!I122="",0.02,Policies!I122)</f>
        <v/>
      </c>
      <c r="AA122">
        <f>IFERROR(VLOOKUP(Z122,HurrDedTable,2,FALSE),1)</f>
        <v/>
      </c>
      <c r="AB122">
        <f>IFERROR(INDEX(RateTables!$L$31:$L$33,MATCH(Policies!K122,RateTables!$K$31:$K$33,0)),1)</f>
        <v/>
      </c>
      <c r="AC122">
        <f>ROUND(F122*D122*J122*AA122*AB122,2)</f>
        <v/>
      </c>
      <c r="AD122">
        <f>MIN(AC122,Policies!G122*HurrCapPct)</f>
        <v/>
      </c>
      <c r="AE122">
        <f>Y122+AD122</f>
        <v/>
      </c>
      <c r="AF122" s="1">
        <f>EDATE(Policies!M122,Policies!N122)</f>
        <v/>
      </c>
      <c r="AG122">
        <f>ROUND(YEARFRAC(Policies!M122,AF122,3),4)</f>
        <v/>
      </c>
      <c r="AH122">
        <f>ROUND(AE122*AG122,2)</f>
        <v/>
      </c>
      <c r="AI122">
        <f>MAX(AH122,MinPremium)</f>
        <v/>
      </c>
      <c r="AJ122">
        <f>ROUNDUP(AI122,0)</f>
        <v/>
      </c>
      <c r="AK122">
        <f>VLOOKUP(Policies!N122,FeeTable,2,FALSE)</f>
        <v/>
      </c>
      <c r="AL122">
        <f>ROUND(AJ122*AssessRate,2)</f>
        <v/>
      </c>
      <c r="AM122">
        <f>ROUND((AJ122+AK122)*G122,2)</f>
        <v/>
      </c>
      <c r="AN122">
        <f>AJ122+AK122+AL122+AM122</f>
        <v/>
      </c>
      <c r="AO122">
        <f>IF(OR(Policies!G122&gt;1000000,C122&gt;20,Policies!L122&gt;=3),"REFER","OK")</f>
        <v/>
      </c>
      <c r="AP122">
        <f>ROUND(AH122/D122,3)</f>
        <v/>
      </c>
      <c r="AQ122">
        <f>Policies!B122&amp;"-"&amp;LEFT(Policies!C122,1)&amp;TEXT(Policies!D122,"00")</f>
        <v/>
      </c>
    </row>
    <row r="123">
      <c r="A123">
        <f>Policies!A123</f>
        <v/>
      </c>
      <c r="B123">
        <f>IFERROR(DATEDIF(DATE(Policies!E123,1,1),Policies!M123,"y"),0)</f>
        <v/>
      </c>
      <c r="C123">
        <f>Policies!F123*1</f>
        <v/>
      </c>
      <c r="D123">
        <f>Policies!G123/1000</f>
        <v/>
      </c>
      <c r="E123">
        <f>VLOOKUP(Policies!B123,BaseRates,2,FALSE)</f>
        <v/>
      </c>
      <c r="F123">
        <f>VLOOKUP(Policies!B123,BaseRates,3,FALSE)</f>
        <v/>
      </c>
      <c r="G123">
        <f>VLOOKUP(Policies!B123,BaseRates,4,FALSE)</f>
        <v/>
      </c>
      <c r="H123">
        <f>ROUND(E123*D123,2)</f>
        <v/>
      </c>
      <c r="I123">
        <f>INDEX(RateTables!$B$13:$B$16,MATCH(Policies!C123,RateTables!$A$13:$A$16,0))</f>
        <v/>
      </c>
      <c r="J123">
        <f>INDEX(RateTables!$C$13:$C$16,MATCH(Policies!C123,RateTables!$A$13:$A$16,0))</f>
        <v/>
      </c>
      <c r="K123">
        <f>INDEX(RateTables!$B$19:$C$28,MATCH(Policies!D123,RateTables!$A$19:$A$28,0),IF(Policies!C123="Frame",1,2))</f>
        <v/>
      </c>
      <c r="L123">
        <f>VLOOKUP(B123,AgeBands,2,TRUE)</f>
        <v/>
      </c>
      <c r="M123">
        <f>VLOOKUP(C123,RoofBands,2,TRUE)</f>
        <v/>
      </c>
      <c r="N123">
        <f>VLOOKUP(Policies!G123,AOIBands,2,TRUE)</f>
        <v/>
      </c>
      <c r="O123">
        <f>VLOOKUP(Policies!H123,RateTables!$A$31:$B$35,2,TRUE)</f>
        <v/>
      </c>
      <c r="P123">
        <f>VLOOKUP(MIN(Policies!L123,3),ClaimsTable,2,FALSE)</f>
        <v/>
      </c>
      <c r="Q123">
        <f>ROUND(H123*I123*K123*L123*M123*N123*O123*P123,2)</f>
        <v/>
      </c>
      <c r="R123">
        <f>IF(Policies!J123="Y",1,0)</f>
        <v/>
      </c>
      <c r="S123">
        <f>IF(AND(Policies!L123=0,B123&gt;=3),1,0)</f>
        <v/>
      </c>
      <c r="T123">
        <f>IF(B123&lt;=5,1,0)</f>
        <v/>
      </c>
      <c r="U123">
        <f>IF(Policies!K123="Basic",1,0)</f>
        <v/>
      </c>
      <c r="V123">
        <f>IF(Policies!K123="Fortified",1,0)</f>
        <v/>
      </c>
      <c r="W123">
        <f>SUMPRODUCT(R123:V123,CreditPcts)</f>
        <v/>
      </c>
      <c r="X123">
        <f>MIN(W123,CreditCap)</f>
        <v/>
      </c>
      <c r="Y123">
        <f>ROUND(Q123*(1-X123),2)</f>
        <v/>
      </c>
      <c r="Z123">
        <f>IF(Policies!I123="",0.02,Policies!I123)</f>
        <v/>
      </c>
      <c r="AA123">
        <f>IFERROR(VLOOKUP(Z123,HurrDedTable,2,FALSE),1)</f>
        <v/>
      </c>
      <c r="AB123">
        <f>IFERROR(INDEX(RateTables!$L$31:$L$33,MATCH(Policies!K123,RateTables!$K$31:$K$33,0)),1)</f>
        <v/>
      </c>
      <c r="AC123">
        <f>ROUND(F123*D123*J123*AA123*AB123,2)</f>
        <v/>
      </c>
      <c r="AD123">
        <f>MIN(AC123,Policies!G123*HurrCapPct)</f>
        <v/>
      </c>
      <c r="AE123">
        <f>Y123+AD123</f>
        <v/>
      </c>
      <c r="AF123" s="1">
        <f>EDATE(Policies!M123,Policies!N123)</f>
        <v/>
      </c>
      <c r="AG123">
        <f>ROUND(YEARFRAC(Policies!M123,AF123,3),4)</f>
        <v/>
      </c>
      <c r="AH123">
        <f>ROUND(AE123*AG123,2)</f>
        <v/>
      </c>
      <c r="AI123">
        <f>MAX(AH123,MinPremium)</f>
        <v/>
      </c>
      <c r="AJ123">
        <f>ROUNDUP(AI123,0)</f>
        <v/>
      </c>
      <c r="AK123">
        <f>VLOOKUP(Policies!N123,FeeTable,2,FALSE)</f>
        <v/>
      </c>
      <c r="AL123">
        <f>ROUND(AJ123*AssessRate,2)</f>
        <v/>
      </c>
      <c r="AM123">
        <f>ROUND((AJ123+AK123)*G123,2)</f>
        <v/>
      </c>
      <c r="AN123">
        <f>AJ123+AK123+AL123+AM123</f>
        <v/>
      </c>
      <c r="AO123">
        <f>IF(OR(Policies!G123&gt;1000000,C123&gt;20,Policies!L123&gt;=3),"REFER","OK")</f>
        <v/>
      </c>
      <c r="AP123">
        <f>ROUND(AH123/D123,3)</f>
        <v/>
      </c>
      <c r="AQ123">
        <f>Policies!B123&amp;"-"&amp;LEFT(Policies!C123,1)&amp;TEXT(Policies!D123,"00")</f>
        <v/>
      </c>
    </row>
    <row r="124">
      <c r="A124">
        <f>Policies!A124</f>
        <v/>
      </c>
      <c r="B124">
        <f>IFERROR(DATEDIF(DATE(Policies!E124,1,1),Policies!M124,"y"),0)</f>
        <v/>
      </c>
      <c r="C124">
        <f>Policies!F124*1</f>
        <v/>
      </c>
      <c r="D124">
        <f>Policies!G124/1000</f>
        <v/>
      </c>
      <c r="E124">
        <f>VLOOKUP(Policies!B124,BaseRates,2,FALSE)</f>
        <v/>
      </c>
      <c r="F124">
        <f>VLOOKUP(Policies!B124,BaseRates,3,FALSE)</f>
        <v/>
      </c>
      <c r="G124">
        <f>VLOOKUP(Policies!B124,BaseRates,4,FALSE)</f>
        <v/>
      </c>
      <c r="H124">
        <f>ROUND(E124*D124,2)</f>
        <v/>
      </c>
      <c r="I124">
        <f>INDEX(RateTables!$B$13:$B$16,MATCH(Policies!C124,RateTables!$A$13:$A$16,0))</f>
        <v/>
      </c>
      <c r="J124">
        <f>INDEX(RateTables!$C$13:$C$16,MATCH(Policies!C124,RateTables!$A$13:$A$16,0))</f>
        <v/>
      </c>
      <c r="K124">
        <f>INDEX(RateTables!$B$19:$C$28,MATCH(Policies!D124,RateTables!$A$19:$A$28,0),IF(Policies!C124="Frame",1,2))</f>
        <v/>
      </c>
      <c r="L124">
        <f>VLOOKUP(B124,AgeBands,2,TRUE)</f>
        <v/>
      </c>
      <c r="M124">
        <f>VLOOKUP(C124,RoofBands,2,TRUE)</f>
        <v/>
      </c>
      <c r="N124">
        <f>VLOOKUP(Policies!G124,AOIBands,2,TRUE)</f>
        <v/>
      </c>
      <c r="O124">
        <f>VLOOKUP(Policies!H124,RateTables!$A$31:$B$35,2,TRUE)</f>
        <v/>
      </c>
      <c r="P124">
        <f>VLOOKUP(MIN(Policies!L124,3),ClaimsTable,2,FALSE)</f>
        <v/>
      </c>
      <c r="Q124">
        <f>ROUND(H124*I124*K124*L124*M124*N124*O124*P124,2)</f>
        <v/>
      </c>
      <c r="R124">
        <f>IF(Policies!J124="Y",1,0)</f>
        <v/>
      </c>
      <c r="S124">
        <f>IF(AND(Policies!L124=0,B124&gt;=3),1,0)</f>
        <v/>
      </c>
      <c r="T124">
        <f>IF(B124&lt;=5,1,0)</f>
        <v/>
      </c>
      <c r="U124">
        <f>IF(Policies!K124="Basic",1,0)</f>
        <v/>
      </c>
      <c r="V124">
        <f>IF(Policies!K124="Fortified",1,0)</f>
        <v/>
      </c>
      <c r="W124">
        <f>SUMPRODUCT(R124:V124,CreditPcts)</f>
        <v/>
      </c>
      <c r="X124">
        <f>MIN(W124,CreditCap)</f>
        <v/>
      </c>
      <c r="Y124">
        <f>ROUND(Q124*(1-X124),2)</f>
        <v/>
      </c>
      <c r="Z124">
        <f>IF(Policies!I124="",0.02,Policies!I124)</f>
        <v/>
      </c>
      <c r="AA124">
        <f>IFERROR(VLOOKUP(Z124,HurrDedTable,2,FALSE),1)</f>
        <v/>
      </c>
      <c r="AB124">
        <f>IFERROR(INDEX(RateTables!$L$31:$L$33,MATCH(Policies!K124,RateTables!$K$31:$K$33,0)),1)</f>
        <v/>
      </c>
      <c r="AC124">
        <f>ROUND(F124*D124*J124*AA124*AB124,2)</f>
        <v/>
      </c>
      <c r="AD124">
        <f>MIN(AC124,Policies!G124*HurrCapPct)</f>
        <v/>
      </c>
      <c r="AE124">
        <f>Y124+AD124</f>
        <v/>
      </c>
      <c r="AF124" s="1">
        <f>EDATE(Policies!M124,Policies!N124)</f>
        <v/>
      </c>
      <c r="AG124">
        <f>ROUND(YEARFRAC(Policies!M124,AF124,3),4)</f>
        <v/>
      </c>
      <c r="AH124">
        <f>ROUND(AE124*AG124,2)</f>
        <v/>
      </c>
      <c r="AI124">
        <f>MAX(AH124,MinPremium)</f>
        <v/>
      </c>
      <c r="AJ124">
        <f>ROUNDUP(AI124,0)</f>
        <v/>
      </c>
      <c r="AK124">
        <f>VLOOKUP(Policies!N124,FeeTable,2,FALSE)</f>
        <v/>
      </c>
      <c r="AL124">
        <f>ROUND(AJ124*AssessRate,2)</f>
        <v/>
      </c>
      <c r="AM124">
        <f>ROUND((AJ124+AK124)*G124,2)</f>
        <v/>
      </c>
      <c r="AN124">
        <f>AJ124+AK124+AL124+AM124</f>
        <v/>
      </c>
      <c r="AO124">
        <f>IF(OR(Policies!G124&gt;1000000,C124&gt;20,Policies!L124&gt;=3),"REFER","OK")</f>
        <v/>
      </c>
      <c r="AP124">
        <f>ROUND(AH124/D124,3)</f>
        <v/>
      </c>
      <c r="AQ124">
        <f>Policies!B124&amp;"-"&amp;LEFT(Policies!C124,1)&amp;TEXT(Policies!D124,"00")</f>
        <v/>
      </c>
    </row>
    <row r="125">
      <c r="A125">
        <f>Policies!A125</f>
        <v/>
      </c>
      <c r="B125">
        <f>IFERROR(DATEDIF(DATE(Policies!E125,1,1),Policies!M125,"y"),0)</f>
        <v/>
      </c>
      <c r="C125">
        <f>Policies!F125*1</f>
        <v/>
      </c>
      <c r="D125">
        <f>Policies!G125/1000</f>
        <v/>
      </c>
      <c r="E125">
        <f>VLOOKUP(Policies!B125,BaseRates,2,FALSE)</f>
        <v/>
      </c>
      <c r="F125">
        <f>VLOOKUP(Policies!B125,BaseRates,3,FALSE)</f>
        <v/>
      </c>
      <c r="G125">
        <f>VLOOKUP(Policies!B125,BaseRates,4,FALSE)</f>
        <v/>
      </c>
      <c r="H125">
        <f>ROUND(E125*D125,2)</f>
        <v/>
      </c>
      <c r="I125">
        <f>INDEX(RateTables!$B$13:$B$16,MATCH(Policies!C125,RateTables!$A$13:$A$16,0))</f>
        <v/>
      </c>
      <c r="J125">
        <f>INDEX(RateTables!$C$13:$C$16,MATCH(Policies!C125,RateTables!$A$13:$A$16,0))</f>
        <v/>
      </c>
      <c r="K125">
        <f>INDEX(RateTables!$B$19:$C$28,MATCH(Policies!D125,RateTables!$A$19:$A$28,0),IF(Policies!C125="Frame",1,2))</f>
        <v/>
      </c>
      <c r="L125">
        <f>VLOOKUP(B125,AgeBands,2,TRUE)</f>
        <v/>
      </c>
      <c r="M125">
        <f>VLOOKUP(C125,RoofBands,2,TRUE)</f>
        <v/>
      </c>
      <c r="N125">
        <f>VLOOKUP(Policies!G125,AOIBands,2,TRUE)</f>
        <v/>
      </c>
      <c r="O125">
        <f>VLOOKUP(Policies!H125,RateTables!$A$31:$B$35,2,TRUE)</f>
        <v/>
      </c>
      <c r="P125">
        <f>VLOOKUP(MIN(Policies!L125,3),ClaimsTable,2,FALSE)</f>
        <v/>
      </c>
      <c r="Q125">
        <f>ROUND(H125*I125*K125*L125*M125*N125*O125*P125,2)</f>
        <v/>
      </c>
      <c r="R125">
        <f>IF(Policies!J125="Y",1,0)</f>
        <v/>
      </c>
      <c r="S125">
        <f>IF(AND(Policies!L125=0,B125&gt;=3),1,0)</f>
        <v/>
      </c>
      <c r="T125">
        <f>IF(B125&lt;=5,1,0)</f>
        <v/>
      </c>
      <c r="U125">
        <f>IF(Policies!K125="Basic",1,0)</f>
        <v/>
      </c>
      <c r="V125">
        <f>IF(Policies!K125="Fortified",1,0)</f>
        <v/>
      </c>
      <c r="W125">
        <f>SUMPRODUCT(R125:V125,CreditPcts)</f>
        <v/>
      </c>
      <c r="X125">
        <f>MIN(W125,CreditCap)</f>
        <v/>
      </c>
      <c r="Y125">
        <f>ROUND(Q125*(1-X125),2)</f>
        <v/>
      </c>
      <c r="Z125">
        <f>IF(Policies!I125="",0.02,Policies!I125)</f>
        <v/>
      </c>
      <c r="AA125">
        <f>IFERROR(VLOOKUP(Z125,HurrDedTable,2,FALSE),1)</f>
        <v/>
      </c>
      <c r="AB125">
        <f>IFERROR(INDEX(RateTables!$L$31:$L$33,MATCH(Policies!K125,RateTables!$K$31:$K$33,0)),1)</f>
        <v/>
      </c>
      <c r="AC125">
        <f>ROUND(F125*D125*J125*AA125*AB125,2)</f>
        <v/>
      </c>
      <c r="AD125">
        <f>MIN(AC125,Policies!G125*HurrCapPct)</f>
        <v/>
      </c>
      <c r="AE125">
        <f>Y125+AD125</f>
        <v/>
      </c>
      <c r="AF125" s="1">
        <f>EDATE(Policies!M125,Policies!N125)</f>
        <v/>
      </c>
      <c r="AG125">
        <f>ROUND(YEARFRAC(Policies!M125,AF125,3),4)</f>
        <v/>
      </c>
      <c r="AH125">
        <f>ROUND(AE125*AG125,2)</f>
        <v/>
      </c>
      <c r="AI125">
        <f>MAX(AH125,MinPremium)</f>
        <v/>
      </c>
      <c r="AJ125">
        <f>ROUNDUP(AI125,0)</f>
        <v/>
      </c>
      <c r="AK125">
        <f>VLOOKUP(Policies!N125,FeeTable,2,FALSE)</f>
        <v/>
      </c>
      <c r="AL125">
        <f>ROUND(AJ125*AssessRate,2)</f>
        <v/>
      </c>
      <c r="AM125">
        <f>ROUND((AJ125+AK125)*G125,2)</f>
        <v/>
      </c>
      <c r="AN125">
        <f>AJ125+AK125+AL125+AM125</f>
        <v/>
      </c>
      <c r="AO125">
        <f>IF(OR(Policies!G125&gt;1000000,C125&gt;20,Policies!L125&gt;=3),"REFER","OK")</f>
        <v/>
      </c>
      <c r="AP125">
        <f>ROUND(AH125/D125,3)</f>
        <v/>
      </c>
      <c r="AQ125">
        <f>Policies!B125&amp;"-"&amp;LEFT(Policies!C125,1)&amp;TEXT(Policies!D125,"00")</f>
        <v/>
      </c>
    </row>
    <row r="126">
      <c r="A126">
        <f>Policies!A126</f>
        <v/>
      </c>
      <c r="B126">
        <f>IFERROR(DATEDIF(DATE(Policies!E126,1,1),Policies!M126,"y"),0)</f>
        <v/>
      </c>
      <c r="C126">
        <f>Policies!F126*1</f>
        <v/>
      </c>
      <c r="D126">
        <f>Policies!G126/1000</f>
        <v/>
      </c>
      <c r="E126">
        <f>VLOOKUP(Policies!B126,BaseRates,2,FALSE)</f>
        <v/>
      </c>
      <c r="F126">
        <f>VLOOKUP(Policies!B126,BaseRates,3,FALSE)</f>
        <v/>
      </c>
      <c r="G126">
        <f>VLOOKUP(Policies!B126,BaseRates,4,FALSE)</f>
        <v/>
      </c>
      <c r="H126">
        <f>ROUND(E126*D126,2)</f>
        <v/>
      </c>
      <c r="I126">
        <f>INDEX(RateTables!$B$13:$B$16,MATCH(Policies!C126,RateTables!$A$13:$A$16,0))</f>
        <v/>
      </c>
      <c r="J126">
        <f>INDEX(RateTables!$C$13:$C$16,MATCH(Policies!C126,RateTables!$A$13:$A$16,0))</f>
        <v/>
      </c>
      <c r="K126">
        <f>INDEX(RateTables!$B$19:$C$28,MATCH(Policies!D126,RateTables!$A$19:$A$28,0),IF(Policies!C126="Frame",1,2))</f>
        <v/>
      </c>
      <c r="L126">
        <f>VLOOKUP(B126,AgeBands,2,TRUE)</f>
        <v/>
      </c>
      <c r="M126">
        <f>VLOOKUP(C126,RoofBands,2,TRUE)</f>
        <v/>
      </c>
      <c r="N126">
        <f>VLOOKUP(Policies!G126,AOIBands,2,TRUE)</f>
        <v/>
      </c>
      <c r="O126">
        <f>VLOOKUP(Policies!H126,RateTables!$A$31:$B$35,2,TRUE)</f>
        <v/>
      </c>
      <c r="P126">
        <f>VLOOKUP(MIN(Policies!L126,3),ClaimsTable,2,FALSE)</f>
        <v/>
      </c>
      <c r="Q126">
        <f>ROUND(H126*I126*K126*L126*M126*N126*O126*P126,2)</f>
        <v/>
      </c>
      <c r="R126">
        <f>IF(Policies!J126="Y",1,0)</f>
        <v/>
      </c>
      <c r="S126">
        <f>IF(AND(Policies!L126=0,B126&gt;=3),1,0)</f>
        <v/>
      </c>
      <c r="T126">
        <f>IF(B126&lt;=5,1,0)</f>
        <v/>
      </c>
      <c r="U126">
        <f>IF(Policies!K126="Basic",1,0)</f>
        <v/>
      </c>
      <c r="V126">
        <f>IF(Policies!K126="Fortified",1,0)</f>
        <v/>
      </c>
      <c r="W126">
        <f>SUMPRODUCT(R126:V126,CreditPcts)</f>
        <v/>
      </c>
      <c r="X126">
        <f>MIN(W126,CreditCap)</f>
        <v/>
      </c>
      <c r="Y126">
        <f>ROUND(Q126*(1-X126),2)</f>
        <v/>
      </c>
      <c r="Z126">
        <f>IF(Policies!I126="",0.02,Policies!I126)</f>
        <v/>
      </c>
      <c r="AA126">
        <f>IFERROR(VLOOKUP(Z126,HurrDedTable,2,FALSE),1)</f>
        <v/>
      </c>
      <c r="AB126">
        <f>IFERROR(INDEX(RateTables!$L$31:$L$33,MATCH(Policies!K126,RateTables!$K$31:$K$33,0)),1)</f>
        <v/>
      </c>
      <c r="AC126">
        <f>ROUND(F126*D126*J126*AA126*AB126,2)</f>
        <v/>
      </c>
      <c r="AD126">
        <f>MIN(AC126,Policies!G126*HurrCapPct)</f>
        <v/>
      </c>
      <c r="AE126">
        <f>Y126+AD126</f>
        <v/>
      </c>
      <c r="AF126" s="1">
        <f>EDATE(Policies!M126,Policies!N126)</f>
        <v/>
      </c>
      <c r="AG126">
        <f>ROUND(YEARFRAC(Policies!M126,AF126,3),4)</f>
        <v/>
      </c>
      <c r="AH126">
        <f>ROUND(AE126*AG126,2)</f>
        <v/>
      </c>
      <c r="AI126">
        <f>MAX(AH126,MinPremium)</f>
        <v/>
      </c>
      <c r="AJ126">
        <f>ROUNDUP(AI126,0)</f>
        <v/>
      </c>
      <c r="AK126">
        <f>VLOOKUP(Policies!N126,FeeTable,2,FALSE)</f>
        <v/>
      </c>
      <c r="AL126">
        <f>ROUND(AJ126*AssessRate,2)</f>
        <v/>
      </c>
      <c r="AM126">
        <f>ROUND((AJ126+AK126)*G126,2)</f>
        <v/>
      </c>
      <c r="AN126">
        <f>AJ126+AK126+AL126+AM126</f>
        <v/>
      </c>
      <c r="AO126">
        <f>IF(OR(Policies!G126&gt;1000000,C126&gt;20,Policies!L126&gt;=3),"REFER","OK")</f>
        <v/>
      </c>
      <c r="AP126">
        <f>ROUND(AH126/D126,3)</f>
        <v/>
      </c>
      <c r="AQ126">
        <f>Policies!B126&amp;"-"&amp;LEFT(Policies!C126,1)&amp;TEXT(Policies!D126,"00")</f>
        <v/>
      </c>
    </row>
    <row r="127">
      <c r="A127">
        <f>Policies!A127</f>
        <v/>
      </c>
      <c r="B127">
        <f>IFERROR(DATEDIF(DATE(Policies!E127,1,1),Policies!M127,"y"),0)</f>
        <v/>
      </c>
      <c r="C127">
        <f>Policies!F127*1</f>
        <v/>
      </c>
      <c r="D127">
        <f>Policies!G127/1000</f>
        <v/>
      </c>
      <c r="E127">
        <f>VLOOKUP(Policies!B127,BaseRates,2,FALSE)</f>
        <v/>
      </c>
      <c r="F127">
        <f>VLOOKUP(Policies!B127,BaseRates,3,FALSE)</f>
        <v/>
      </c>
      <c r="G127">
        <f>VLOOKUP(Policies!B127,BaseRates,4,FALSE)</f>
        <v/>
      </c>
      <c r="H127">
        <f>ROUND(E127*D127,2)</f>
        <v/>
      </c>
      <c r="I127">
        <f>INDEX(RateTables!$B$13:$B$16,MATCH(Policies!C127,RateTables!$A$13:$A$16,0))</f>
        <v/>
      </c>
      <c r="J127">
        <f>INDEX(RateTables!$C$13:$C$16,MATCH(Policies!C127,RateTables!$A$13:$A$16,0))</f>
        <v/>
      </c>
      <c r="K127">
        <f>INDEX(RateTables!$B$19:$C$28,MATCH(Policies!D127,RateTables!$A$19:$A$28,0),IF(Policies!C127="Frame",1,2))</f>
        <v/>
      </c>
      <c r="L127">
        <f>VLOOKUP(B127,AgeBands,2,TRUE)</f>
        <v/>
      </c>
      <c r="M127">
        <f>VLOOKUP(C127,RoofBands,2,TRUE)</f>
        <v/>
      </c>
      <c r="N127">
        <f>VLOOKUP(Policies!G127,AOIBands,2,TRUE)</f>
        <v/>
      </c>
      <c r="O127">
        <f>VLOOKUP(Policies!H127,RateTables!$A$31:$B$35,2,TRUE)</f>
        <v/>
      </c>
      <c r="P127">
        <f>VLOOKUP(MIN(Policies!L127,3),ClaimsTable,2,FALSE)</f>
        <v/>
      </c>
      <c r="Q127">
        <f>ROUND(H127*I127*K127*L127*M127*N127*O127*P127,2)</f>
        <v/>
      </c>
      <c r="R127">
        <f>IF(Policies!J127="Y",1,0)</f>
        <v/>
      </c>
      <c r="S127">
        <f>IF(AND(Policies!L127=0,B127&gt;=3),1,0)</f>
        <v/>
      </c>
      <c r="T127">
        <f>IF(B127&lt;=5,1,0)</f>
        <v/>
      </c>
      <c r="U127">
        <f>IF(Policies!K127="Basic",1,0)</f>
        <v/>
      </c>
      <c r="V127">
        <f>IF(Policies!K127="Fortified",1,0)</f>
        <v/>
      </c>
      <c r="W127">
        <f>SUMPRODUCT(R127:V127,CreditPcts)</f>
        <v/>
      </c>
      <c r="X127">
        <f>MIN(W127,CreditCap)</f>
        <v/>
      </c>
      <c r="Y127">
        <f>ROUND(Q127*(1-X127),2)</f>
        <v/>
      </c>
      <c r="Z127">
        <f>IF(Policies!I127="",0.02,Policies!I127)</f>
        <v/>
      </c>
      <c r="AA127">
        <f>IFERROR(VLOOKUP(Z127,HurrDedTable,2,FALSE),1)</f>
        <v/>
      </c>
      <c r="AB127">
        <f>IFERROR(INDEX(RateTables!$L$31:$L$33,MATCH(Policies!K127,RateTables!$K$31:$K$33,0)),1)</f>
        <v/>
      </c>
      <c r="AC127">
        <f>ROUND(F127*D127*J127*AA127*AB127,2)</f>
        <v/>
      </c>
      <c r="AD127">
        <f>MIN(AC127,Policies!G127*HurrCapPct)</f>
        <v/>
      </c>
      <c r="AE127">
        <f>Y127+AD127</f>
        <v/>
      </c>
      <c r="AF127" s="1">
        <f>EDATE(Policies!M127,Policies!N127)</f>
        <v/>
      </c>
      <c r="AG127">
        <f>ROUND(YEARFRAC(Policies!M127,AF127,3),4)</f>
        <v/>
      </c>
      <c r="AH127">
        <f>ROUND(AE127*AG127,2)</f>
        <v/>
      </c>
      <c r="AI127">
        <f>MAX(AH127,MinPremium)</f>
        <v/>
      </c>
      <c r="AJ127">
        <f>ROUNDUP(AI127,0)</f>
        <v/>
      </c>
      <c r="AK127">
        <f>VLOOKUP(Policies!N127,FeeTable,2,FALSE)</f>
        <v/>
      </c>
      <c r="AL127">
        <f>ROUND(AJ127*AssessRate,2)</f>
        <v/>
      </c>
      <c r="AM127">
        <f>ROUND((AJ127+AK127)*G127,2)</f>
        <v/>
      </c>
      <c r="AN127">
        <f>AJ127+AK127+AL127+AM127</f>
        <v/>
      </c>
      <c r="AO127">
        <f>IF(OR(Policies!G127&gt;1000000,C127&gt;20,Policies!L127&gt;=3),"REFER","OK")</f>
        <v/>
      </c>
      <c r="AP127">
        <f>ROUND(AH127/D127,3)</f>
        <v/>
      </c>
      <c r="AQ127">
        <f>Policies!B127&amp;"-"&amp;LEFT(Policies!C127,1)&amp;TEXT(Policies!D127,"00")</f>
        <v/>
      </c>
    </row>
    <row r="128">
      <c r="A128">
        <f>Policies!A128</f>
        <v/>
      </c>
      <c r="B128">
        <f>IFERROR(DATEDIF(DATE(Policies!E128,1,1),Policies!M128,"y"),0)</f>
        <v/>
      </c>
      <c r="C128">
        <f>Policies!F128*1</f>
        <v/>
      </c>
      <c r="D128">
        <f>Policies!G128/1000</f>
        <v/>
      </c>
      <c r="E128">
        <f>VLOOKUP(Policies!B128,BaseRates,2,FALSE)</f>
        <v/>
      </c>
      <c r="F128">
        <f>VLOOKUP(Policies!B128,BaseRates,3,FALSE)</f>
        <v/>
      </c>
      <c r="G128">
        <f>VLOOKUP(Policies!B128,BaseRates,4,FALSE)</f>
        <v/>
      </c>
      <c r="H128">
        <f>ROUND(E128*D128,2)</f>
        <v/>
      </c>
      <c r="I128">
        <f>INDEX(RateTables!$B$13:$B$16,MATCH(Policies!C128,RateTables!$A$13:$A$16,0))</f>
        <v/>
      </c>
      <c r="J128">
        <f>INDEX(RateTables!$C$13:$C$16,MATCH(Policies!C128,RateTables!$A$13:$A$16,0))</f>
        <v/>
      </c>
      <c r="K128">
        <f>INDEX(RateTables!$B$19:$C$28,MATCH(Policies!D128,RateTables!$A$19:$A$28,0),IF(Policies!C128="Frame",1,2))</f>
        <v/>
      </c>
      <c r="L128">
        <f>VLOOKUP(B128,AgeBands,2,TRUE)</f>
        <v/>
      </c>
      <c r="M128">
        <f>VLOOKUP(C128,RoofBands,2,TRUE)</f>
        <v/>
      </c>
      <c r="N128">
        <f>VLOOKUP(Policies!G128,AOIBands,2,TRUE)</f>
        <v/>
      </c>
      <c r="O128">
        <f>VLOOKUP(Policies!H128,RateTables!$A$31:$B$35,2,TRUE)</f>
        <v/>
      </c>
      <c r="P128">
        <f>VLOOKUP(MIN(Policies!L128,3),ClaimsTable,2,FALSE)</f>
        <v/>
      </c>
      <c r="Q128">
        <f>ROUND(H128*I128*K128*L128*M128*N128*O128*P128,2)</f>
        <v/>
      </c>
      <c r="R128">
        <f>IF(Policies!J128="Y",1,0)</f>
        <v/>
      </c>
      <c r="S128">
        <f>IF(AND(Policies!L128=0,B128&gt;=3),1,0)</f>
        <v/>
      </c>
      <c r="T128">
        <f>IF(B128&lt;=5,1,0)</f>
        <v/>
      </c>
      <c r="U128">
        <f>IF(Policies!K128="Basic",1,0)</f>
        <v/>
      </c>
      <c r="V128">
        <f>IF(Policies!K128="Fortified",1,0)</f>
        <v/>
      </c>
      <c r="W128">
        <f>SUMPRODUCT(R128:V128,CreditPcts)</f>
        <v/>
      </c>
      <c r="X128">
        <f>MIN(W128,CreditCap)</f>
        <v/>
      </c>
      <c r="Y128">
        <f>ROUND(Q128*(1-X128),2)</f>
        <v/>
      </c>
      <c r="Z128">
        <f>IF(Policies!I128="",0.02,Policies!I128)</f>
        <v/>
      </c>
      <c r="AA128">
        <f>IFERROR(VLOOKUP(Z128,HurrDedTable,2,FALSE),1)</f>
        <v/>
      </c>
      <c r="AB128">
        <f>IFERROR(INDEX(RateTables!$L$31:$L$33,MATCH(Policies!K128,RateTables!$K$31:$K$33,0)),1)</f>
        <v/>
      </c>
      <c r="AC128">
        <f>ROUND(F128*D128*J128*AA128*AB128,2)</f>
        <v/>
      </c>
      <c r="AD128">
        <f>MIN(AC128,Policies!G128*HurrCapPct)</f>
        <v/>
      </c>
      <c r="AE128">
        <f>Y128+AD128</f>
        <v/>
      </c>
      <c r="AF128" s="1">
        <f>EDATE(Policies!M128,Policies!N128)</f>
        <v/>
      </c>
      <c r="AG128">
        <f>ROUND(YEARFRAC(Policies!M128,AF128,3),4)</f>
        <v/>
      </c>
      <c r="AH128">
        <f>ROUND(AE128*AG128,2)</f>
        <v/>
      </c>
      <c r="AI128">
        <f>MAX(AH128,MinPremium)</f>
        <v/>
      </c>
      <c r="AJ128">
        <f>ROUNDUP(AI128,0)</f>
        <v/>
      </c>
      <c r="AK128">
        <f>VLOOKUP(Policies!N128,FeeTable,2,FALSE)</f>
        <v/>
      </c>
      <c r="AL128">
        <f>ROUND(AJ128*AssessRate,2)</f>
        <v/>
      </c>
      <c r="AM128">
        <f>ROUND((AJ128+AK128)*G128,2)</f>
        <v/>
      </c>
      <c r="AN128">
        <f>AJ128+AK128+AL128+AM128</f>
        <v/>
      </c>
      <c r="AO128">
        <f>IF(OR(Policies!G128&gt;1000000,C128&gt;20,Policies!L128&gt;=3),"REFER","OK")</f>
        <v/>
      </c>
      <c r="AP128">
        <f>ROUND(AH128/D128,3)</f>
        <v/>
      </c>
      <c r="AQ128">
        <f>Policies!B128&amp;"-"&amp;LEFT(Policies!C128,1)&amp;TEXT(Policies!D128,"00")</f>
        <v/>
      </c>
    </row>
    <row r="129">
      <c r="A129">
        <f>Policies!A129</f>
        <v/>
      </c>
      <c r="B129">
        <f>IFERROR(DATEDIF(DATE(Policies!E129,1,1),Policies!M129,"y"),0)</f>
        <v/>
      </c>
      <c r="C129">
        <f>Policies!F129*1</f>
        <v/>
      </c>
      <c r="D129">
        <f>Policies!G129/1000</f>
        <v/>
      </c>
      <c r="E129">
        <f>VLOOKUP(Policies!B129,BaseRates,2,FALSE)</f>
        <v/>
      </c>
      <c r="F129">
        <f>VLOOKUP(Policies!B129,BaseRates,3,FALSE)</f>
        <v/>
      </c>
      <c r="G129">
        <f>VLOOKUP(Policies!B129,BaseRates,4,FALSE)</f>
        <v/>
      </c>
      <c r="H129">
        <f>ROUND(E129*D129,2)</f>
        <v/>
      </c>
      <c r="I129">
        <f>INDEX(RateTables!$B$13:$B$16,MATCH(Policies!C129,RateTables!$A$13:$A$16,0))</f>
        <v/>
      </c>
      <c r="J129">
        <f>INDEX(RateTables!$C$13:$C$16,MATCH(Policies!C129,RateTables!$A$13:$A$16,0))</f>
        <v/>
      </c>
      <c r="K129">
        <f>INDEX(RateTables!$B$19:$C$28,MATCH(Policies!D129,RateTables!$A$19:$A$28,0),IF(Policies!C129="Frame",1,2))</f>
        <v/>
      </c>
      <c r="L129">
        <f>VLOOKUP(B129,AgeBands,2,TRUE)</f>
        <v/>
      </c>
      <c r="M129">
        <f>VLOOKUP(C129,RoofBands,2,TRUE)</f>
        <v/>
      </c>
      <c r="N129">
        <f>VLOOKUP(Policies!G129,AOIBands,2,TRUE)</f>
        <v/>
      </c>
      <c r="O129">
        <f>VLOOKUP(Policies!H129,RateTables!$A$31:$B$35,2,TRUE)</f>
        <v/>
      </c>
      <c r="P129">
        <f>VLOOKUP(MIN(Policies!L129,3),ClaimsTable,2,FALSE)</f>
        <v/>
      </c>
      <c r="Q129">
        <f>ROUND(H129*I129*K129*L129*M129*N129*O129*P129,2)</f>
        <v/>
      </c>
      <c r="R129">
        <f>IF(Policies!J129="Y",1,0)</f>
        <v/>
      </c>
      <c r="S129">
        <f>IF(AND(Policies!L129=0,B129&gt;=3),1,0)</f>
        <v/>
      </c>
      <c r="T129">
        <f>IF(B129&lt;=5,1,0)</f>
        <v/>
      </c>
      <c r="U129">
        <f>IF(Policies!K129="Basic",1,0)</f>
        <v/>
      </c>
      <c r="V129">
        <f>IF(Policies!K129="Fortified",1,0)</f>
        <v/>
      </c>
      <c r="W129">
        <f>SUMPRODUCT(R129:V129,CreditPcts)</f>
        <v/>
      </c>
      <c r="X129">
        <f>MIN(W129,CreditCap)</f>
        <v/>
      </c>
      <c r="Y129">
        <f>ROUND(Q129*(1-X129),2)</f>
        <v/>
      </c>
      <c r="Z129">
        <f>IF(Policies!I129="",0.02,Policies!I129)</f>
        <v/>
      </c>
      <c r="AA129">
        <f>IFERROR(VLOOKUP(Z129,HurrDedTable,2,FALSE),1)</f>
        <v/>
      </c>
      <c r="AB129">
        <f>IFERROR(INDEX(RateTables!$L$31:$L$33,MATCH(Policies!K129,RateTables!$K$31:$K$33,0)),1)</f>
        <v/>
      </c>
      <c r="AC129">
        <f>ROUND(F129*D129*J129*AA129*AB129,2)</f>
        <v/>
      </c>
      <c r="AD129">
        <f>MIN(AC129,Policies!G129*HurrCapPct)</f>
        <v/>
      </c>
      <c r="AE129">
        <f>Y129+AD129</f>
        <v/>
      </c>
      <c r="AF129" s="1">
        <f>EDATE(Policies!M129,Policies!N129)</f>
        <v/>
      </c>
      <c r="AG129">
        <f>ROUND(YEARFRAC(Policies!M129,AF129,3),4)</f>
        <v/>
      </c>
      <c r="AH129">
        <f>ROUND(AE129*AG129,2)</f>
        <v/>
      </c>
      <c r="AI129">
        <f>MAX(AH129,MinPremium)</f>
        <v/>
      </c>
      <c r="AJ129">
        <f>ROUNDUP(AI129,0)</f>
        <v/>
      </c>
      <c r="AK129">
        <f>VLOOKUP(Policies!N129,FeeTable,2,FALSE)</f>
        <v/>
      </c>
      <c r="AL129">
        <f>ROUND(AJ129*AssessRate,2)</f>
        <v/>
      </c>
      <c r="AM129">
        <f>ROUND((AJ129+AK129)*G129,2)</f>
        <v/>
      </c>
      <c r="AN129">
        <f>AJ129+AK129+AL129+AM129</f>
        <v/>
      </c>
      <c r="AO129">
        <f>IF(OR(Policies!G129&gt;1000000,C129&gt;20,Policies!L129&gt;=3),"REFER","OK")</f>
        <v/>
      </c>
      <c r="AP129">
        <f>ROUND(AH129/D129,3)</f>
        <v/>
      </c>
      <c r="AQ129">
        <f>Policies!B129&amp;"-"&amp;LEFT(Policies!C129,1)&amp;TEXT(Policies!D129,"00")</f>
        <v/>
      </c>
    </row>
    <row r="130">
      <c r="A130">
        <f>Policies!A130</f>
        <v/>
      </c>
      <c r="B130">
        <f>IFERROR(DATEDIF(DATE(Policies!E130,1,1),Policies!M130,"y"),0)</f>
        <v/>
      </c>
      <c r="C130">
        <f>Policies!F130*1</f>
        <v/>
      </c>
      <c r="D130">
        <f>Policies!G130/1000</f>
        <v/>
      </c>
      <c r="E130">
        <f>VLOOKUP(Policies!B130,BaseRates,2,FALSE)</f>
        <v/>
      </c>
      <c r="F130">
        <f>VLOOKUP(Policies!B130,BaseRates,3,FALSE)</f>
        <v/>
      </c>
      <c r="G130">
        <f>VLOOKUP(Policies!B130,BaseRates,4,FALSE)</f>
        <v/>
      </c>
      <c r="H130">
        <f>ROUND(E130*D130,2)</f>
        <v/>
      </c>
      <c r="I130">
        <f>INDEX(RateTables!$B$13:$B$16,MATCH(Policies!C130,RateTables!$A$13:$A$16,0))</f>
        <v/>
      </c>
      <c r="J130">
        <f>INDEX(RateTables!$C$13:$C$16,MATCH(Policies!C130,RateTables!$A$13:$A$16,0))</f>
        <v/>
      </c>
      <c r="K130">
        <f>INDEX(RateTables!$B$19:$C$28,MATCH(Policies!D130,RateTables!$A$19:$A$28,0),IF(Policies!C130="Frame",1,2))</f>
        <v/>
      </c>
      <c r="L130">
        <f>VLOOKUP(B130,AgeBands,2,TRUE)</f>
        <v/>
      </c>
      <c r="M130">
        <f>VLOOKUP(C130,RoofBands,2,TRUE)</f>
        <v/>
      </c>
      <c r="N130">
        <f>VLOOKUP(Policies!G130,AOIBands,2,TRUE)</f>
        <v/>
      </c>
      <c r="O130">
        <f>VLOOKUP(Policies!H130,RateTables!$A$31:$B$35,2,TRUE)</f>
        <v/>
      </c>
      <c r="P130">
        <f>VLOOKUP(MIN(Policies!L130,3),ClaimsTable,2,FALSE)</f>
        <v/>
      </c>
      <c r="Q130">
        <f>ROUND(H130*I130*K130*L130*M130*N130*O130*P130,2)</f>
        <v/>
      </c>
      <c r="R130">
        <f>IF(Policies!J130="Y",1,0)</f>
        <v/>
      </c>
      <c r="S130">
        <f>IF(AND(Policies!L130=0,B130&gt;=3),1,0)</f>
        <v/>
      </c>
      <c r="T130">
        <f>IF(B130&lt;=5,1,0)</f>
        <v/>
      </c>
      <c r="U130">
        <f>IF(Policies!K130="Basic",1,0)</f>
        <v/>
      </c>
      <c r="V130">
        <f>IF(Policies!K130="Fortified",1,0)</f>
        <v/>
      </c>
      <c r="W130">
        <f>SUMPRODUCT(R130:V130,CreditPcts)</f>
        <v/>
      </c>
      <c r="X130">
        <f>MIN(W130,CreditCap)</f>
        <v/>
      </c>
      <c r="Y130">
        <f>ROUND(Q130*(1-X130),2)</f>
        <v/>
      </c>
      <c r="Z130">
        <f>IF(Policies!I130="",0.02,Policies!I130)</f>
        <v/>
      </c>
      <c r="AA130">
        <f>IFERROR(VLOOKUP(Z130,HurrDedTable,2,FALSE),1)</f>
        <v/>
      </c>
      <c r="AB130">
        <f>IFERROR(INDEX(RateTables!$L$31:$L$33,MATCH(Policies!K130,RateTables!$K$31:$K$33,0)),1)</f>
        <v/>
      </c>
      <c r="AC130">
        <f>ROUND(F130*D130*J130*AA130*AB130,2)</f>
        <v/>
      </c>
      <c r="AD130">
        <f>MIN(AC130,Policies!G130*HurrCapPct)</f>
        <v/>
      </c>
      <c r="AE130">
        <f>Y130+AD130</f>
        <v/>
      </c>
      <c r="AF130" s="1">
        <f>EDATE(Policies!M130,Policies!N130)</f>
        <v/>
      </c>
      <c r="AG130">
        <f>ROUND(YEARFRAC(Policies!M130,AF130,3),4)</f>
        <v/>
      </c>
      <c r="AH130">
        <f>ROUND(AE130*AG130,2)</f>
        <v/>
      </c>
      <c r="AI130">
        <f>MAX(AH130,MinPremium)</f>
        <v/>
      </c>
      <c r="AJ130">
        <f>ROUNDUP(AI130,0)</f>
        <v/>
      </c>
      <c r="AK130">
        <f>VLOOKUP(Policies!N130,FeeTable,2,FALSE)</f>
        <v/>
      </c>
      <c r="AL130">
        <f>ROUND(AJ130*AssessRate,2)</f>
        <v/>
      </c>
      <c r="AM130">
        <f>ROUND((AJ130+AK130)*G130,2)</f>
        <v/>
      </c>
      <c r="AN130">
        <f>AJ130+AK130+AL130+AM130</f>
        <v/>
      </c>
      <c r="AO130">
        <f>IF(OR(Policies!G130&gt;1000000,C130&gt;20,Policies!L130&gt;=3),"REFER","OK")</f>
        <v/>
      </c>
      <c r="AP130">
        <f>ROUND(AH130/D130,3)</f>
        <v/>
      </c>
      <c r="AQ130">
        <f>Policies!B130&amp;"-"&amp;LEFT(Policies!C130,1)&amp;TEXT(Policies!D130,"00")</f>
        <v/>
      </c>
    </row>
    <row r="131">
      <c r="A131">
        <f>Policies!A131</f>
        <v/>
      </c>
      <c r="B131">
        <f>IFERROR(DATEDIF(DATE(Policies!E131,1,1),Policies!M131,"y"),0)</f>
        <v/>
      </c>
      <c r="C131">
        <f>Policies!F131*1</f>
        <v/>
      </c>
      <c r="D131">
        <f>Policies!G131/1000</f>
        <v/>
      </c>
      <c r="E131">
        <f>VLOOKUP(Policies!B131,BaseRates,2,FALSE)</f>
        <v/>
      </c>
      <c r="F131">
        <f>VLOOKUP(Policies!B131,BaseRates,3,FALSE)</f>
        <v/>
      </c>
      <c r="G131">
        <f>VLOOKUP(Policies!B131,BaseRates,4,FALSE)</f>
        <v/>
      </c>
      <c r="H131">
        <f>ROUND(E131*D131,2)</f>
        <v/>
      </c>
      <c r="I131">
        <f>INDEX(RateTables!$B$13:$B$16,MATCH(Policies!C131,RateTables!$A$13:$A$16,0))</f>
        <v/>
      </c>
      <c r="J131">
        <f>INDEX(RateTables!$C$13:$C$16,MATCH(Policies!C131,RateTables!$A$13:$A$16,0))</f>
        <v/>
      </c>
      <c r="K131">
        <f>INDEX(RateTables!$B$19:$C$28,MATCH(Policies!D131,RateTables!$A$19:$A$28,0),IF(Policies!C131="Frame",1,2))</f>
        <v/>
      </c>
      <c r="L131">
        <f>VLOOKUP(B131,AgeBands,2,TRUE)</f>
        <v/>
      </c>
      <c r="M131">
        <f>VLOOKUP(C131,RoofBands,2,TRUE)</f>
        <v/>
      </c>
      <c r="N131">
        <f>VLOOKUP(Policies!G131,AOIBands,2,TRUE)</f>
        <v/>
      </c>
      <c r="O131">
        <f>VLOOKUP(Policies!H131,RateTables!$A$31:$B$35,2,TRUE)</f>
        <v/>
      </c>
      <c r="P131">
        <f>VLOOKUP(MIN(Policies!L131,3),ClaimsTable,2,FALSE)</f>
        <v/>
      </c>
      <c r="Q131">
        <f>ROUND(H131*I131*K131*L131*M131*N131*O131*P131,2)</f>
        <v/>
      </c>
      <c r="R131">
        <f>IF(Policies!J131="Y",1,0)</f>
        <v/>
      </c>
      <c r="S131">
        <f>IF(AND(Policies!L131=0,B131&gt;=3),1,0)</f>
        <v/>
      </c>
      <c r="T131">
        <f>IF(B131&lt;=5,1,0)</f>
        <v/>
      </c>
      <c r="U131">
        <f>IF(Policies!K131="Basic",1,0)</f>
        <v/>
      </c>
      <c r="V131">
        <f>IF(Policies!K131="Fortified",1,0)</f>
        <v/>
      </c>
      <c r="W131">
        <f>SUMPRODUCT(R131:V131,CreditPcts)</f>
        <v/>
      </c>
      <c r="X131">
        <f>MIN(W131,CreditCap)</f>
        <v/>
      </c>
      <c r="Y131">
        <f>ROUND(Q131*(1-X131),2)</f>
        <v/>
      </c>
      <c r="Z131">
        <f>IF(Policies!I131="",0.02,Policies!I131)</f>
        <v/>
      </c>
      <c r="AA131">
        <f>IFERROR(VLOOKUP(Z131,HurrDedTable,2,FALSE),1)</f>
        <v/>
      </c>
      <c r="AB131">
        <f>IFERROR(INDEX(RateTables!$L$31:$L$33,MATCH(Policies!K131,RateTables!$K$31:$K$33,0)),1)</f>
        <v/>
      </c>
      <c r="AC131">
        <f>ROUND(F131*D131*J131*AA131*AB131,2)</f>
        <v/>
      </c>
      <c r="AD131">
        <f>MIN(AC131,Policies!G131*HurrCapPct)</f>
        <v/>
      </c>
      <c r="AE131">
        <f>Y131+AD131</f>
        <v/>
      </c>
      <c r="AF131" s="1">
        <f>EDATE(Policies!M131,Policies!N131)</f>
        <v/>
      </c>
      <c r="AG131">
        <f>ROUND(YEARFRAC(Policies!M131,AF131,3),4)</f>
        <v/>
      </c>
      <c r="AH131">
        <f>ROUND(AE131*AG131,2)</f>
        <v/>
      </c>
      <c r="AI131">
        <f>MAX(AH131,MinPremium)</f>
        <v/>
      </c>
      <c r="AJ131">
        <f>ROUNDUP(AI131,0)</f>
        <v/>
      </c>
      <c r="AK131">
        <f>VLOOKUP(Policies!N131,FeeTable,2,FALSE)</f>
        <v/>
      </c>
      <c r="AL131">
        <f>ROUND(AJ131*AssessRate,2)</f>
        <v/>
      </c>
      <c r="AM131">
        <f>ROUND((AJ131+AK131)*G131,2)</f>
        <v/>
      </c>
      <c r="AN131">
        <f>AJ131+AK131+AL131+AM131</f>
        <v/>
      </c>
      <c r="AO131">
        <f>IF(OR(Policies!G131&gt;1000000,C131&gt;20,Policies!L131&gt;=3),"REFER","OK")</f>
        <v/>
      </c>
      <c r="AP131">
        <f>ROUND(AH131/D131,3)</f>
        <v/>
      </c>
      <c r="AQ131">
        <f>Policies!B131&amp;"-"&amp;LEFT(Policies!C131,1)&amp;TEXT(Policies!D131,"00")</f>
        <v/>
      </c>
    </row>
    <row r="132">
      <c r="A132">
        <f>Policies!A132</f>
        <v/>
      </c>
      <c r="B132">
        <f>IFERROR(DATEDIF(DATE(Policies!E132,1,1),Policies!M132,"y"),0)</f>
        <v/>
      </c>
      <c r="C132">
        <f>Policies!F132*1</f>
        <v/>
      </c>
      <c r="D132">
        <f>Policies!G132/1000</f>
        <v/>
      </c>
      <c r="E132">
        <f>VLOOKUP(Policies!B132,BaseRates,2,FALSE)</f>
        <v/>
      </c>
      <c r="F132">
        <f>VLOOKUP(Policies!B132,BaseRates,3,FALSE)</f>
        <v/>
      </c>
      <c r="G132">
        <f>VLOOKUP(Policies!B132,BaseRates,4,FALSE)</f>
        <v/>
      </c>
      <c r="H132">
        <f>ROUND(E132*D132,2)</f>
        <v/>
      </c>
      <c r="I132">
        <f>INDEX(RateTables!$B$13:$B$16,MATCH(Policies!C132,RateTables!$A$13:$A$16,0))</f>
        <v/>
      </c>
      <c r="J132">
        <f>INDEX(RateTables!$C$13:$C$16,MATCH(Policies!C132,RateTables!$A$13:$A$16,0))</f>
        <v/>
      </c>
      <c r="K132">
        <f>INDEX(RateTables!$B$19:$C$28,MATCH(Policies!D132,RateTables!$A$19:$A$28,0),IF(Policies!C132="Frame",1,2))</f>
        <v/>
      </c>
      <c r="L132">
        <f>VLOOKUP(B132,AgeBands,2,TRUE)</f>
        <v/>
      </c>
      <c r="M132">
        <f>VLOOKUP(C132,RoofBands,2,TRUE)</f>
        <v/>
      </c>
      <c r="N132">
        <f>VLOOKUP(Policies!G132,AOIBands,2,TRUE)</f>
        <v/>
      </c>
      <c r="O132">
        <f>VLOOKUP(Policies!H132,RateTables!$A$31:$B$35,2,TRUE)</f>
        <v/>
      </c>
      <c r="P132">
        <f>VLOOKUP(MIN(Policies!L132,3),ClaimsTable,2,FALSE)</f>
        <v/>
      </c>
      <c r="Q132">
        <f>ROUND(H132*I132*K132*L132*M132*N132*O132*P132,2)</f>
        <v/>
      </c>
      <c r="R132">
        <f>IF(Policies!J132="Y",1,0)</f>
        <v/>
      </c>
      <c r="S132">
        <f>IF(AND(Policies!L132=0,B132&gt;=3),1,0)</f>
        <v/>
      </c>
      <c r="T132">
        <f>IF(B132&lt;=5,1,0)</f>
        <v/>
      </c>
      <c r="U132">
        <f>IF(Policies!K132="Basic",1,0)</f>
        <v/>
      </c>
      <c r="V132">
        <f>IF(Policies!K132="Fortified",1,0)</f>
        <v/>
      </c>
      <c r="W132">
        <f>SUMPRODUCT(R132:V132,CreditPcts)</f>
        <v/>
      </c>
      <c r="X132">
        <f>MIN(W132,CreditCap)</f>
        <v/>
      </c>
      <c r="Y132">
        <f>ROUND(Q132*(1-X132),2)</f>
        <v/>
      </c>
      <c r="Z132">
        <f>IF(Policies!I132="",0.02,Policies!I132)</f>
        <v/>
      </c>
      <c r="AA132">
        <f>IFERROR(VLOOKUP(Z132,HurrDedTable,2,FALSE),1)</f>
        <v/>
      </c>
      <c r="AB132">
        <f>IFERROR(INDEX(RateTables!$L$31:$L$33,MATCH(Policies!K132,RateTables!$K$31:$K$33,0)),1)</f>
        <v/>
      </c>
      <c r="AC132">
        <f>ROUND(F132*D132*J132*AA132*AB132,2)</f>
        <v/>
      </c>
      <c r="AD132">
        <f>MIN(AC132,Policies!G132*HurrCapPct)</f>
        <v/>
      </c>
      <c r="AE132">
        <f>Y132+AD132</f>
        <v/>
      </c>
      <c r="AF132" s="1">
        <f>EDATE(Policies!M132,Policies!N132)</f>
        <v/>
      </c>
      <c r="AG132">
        <f>ROUND(YEARFRAC(Policies!M132,AF132,3),4)</f>
        <v/>
      </c>
      <c r="AH132">
        <f>ROUND(AE132*AG132,2)</f>
        <v/>
      </c>
      <c r="AI132">
        <f>MAX(AH132,MinPremium)</f>
        <v/>
      </c>
      <c r="AJ132">
        <f>ROUNDUP(AI132,0)</f>
        <v/>
      </c>
      <c r="AK132">
        <f>VLOOKUP(Policies!N132,FeeTable,2,FALSE)</f>
        <v/>
      </c>
      <c r="AL132">
        <f>ROUND(AJ132*AssessRate,2)</f>
        <v/>
      </c>
      <c r="AM132">
        <f>ROUND((AJ132+AK132)*G132,2)</f>
        <v/>
      </c>
      <c r="AN132">
        <f>AJ132+AK132+AL132+AM132</f>
        <v/>
      </c>
      <c r="AO132">
        <f>IF(OR(Policies!G132&gt;1000000,C132&gt;20,Policies!L132&gt;=3),"REFER","OK")</f>
        <v/>
      </c>
      <c r="AP132">
        <f>ROUND(AH132/D132,3)</f>
        <v/>
      </c>
      <c r="AQ132">
        <f>Policies!B132&amp;"-"&amp;LEFT(Policies!C132,1)&amp;TEXT(Policies!D132,"00")</f>
        <v/>
      </c>
    </row>
    <row r="133">
      <c r="A133">
        <f>Policies!A133</f>
        <v/>
      </c>
      <c r="B133">
        <f>IFERROR(DATEDIF(DATE(Policies!E133,1,1),Policies!M133,"y"),0)</f>
        <v/>
      </c>
      <c r="C133">
        <f>Policies!F133*1</f>
        <v/>
      </c>
      <c r="D133">
        <f>Policies!G133/1000</f>
        <v/>
      </c>
      <c r="E133">
        <f>VLOOKUP(Policies!B133,BaseRates,2,FALSE)</f>
        <v/>
      </c>
      <c r="F133">
        <f>VLOOKUP(Policies!B133,BaseRates,3,FALSE)</f>
        <v/>
      </c>
      <c r="G133">
        <f>VLOOKUP(Policies!B133,BaseRates,4,FALSE)</f>
        <v/>
      </c>
      <c r="H133">
        <f>ROUND(E133*D133,2)</f>
        <v/>
      </c>
      <c r="I133">
        <f>INDEX(RateTables!$B$13:$B$16,MATCH(Policies!C133,RateTables!$A$13:$A$16,0))</f>
        <v/>
      </c>
      <c r="J133">
        <f>INDEX(RateTables!$C$13:$C$16,MATCH(Policies!C133,RateTables!$A$13:$A$16,0))</f>
        <v/>
      </c>
      <c r="K133">
        <f>INDEX(RateTables!$B$19:$C$28,MATCH(Policies!D133,RateTables!$A$19:$A$28,0),IF(Policies!C133="Frame",1,2))</f>
        <v/>
      </c>
      <c r="L133">
        <f>VLOOKUP(B133,AgeBands,2,TRUE)</f>
        <v/>
      </c>
      <c r="M133">
        <f>VLOOKUP(C133,RoofBands,2,TRUE)</f>
        <v/>
      </c>
      <c r="N133">
        <f>VLOOKUP(Policies!G133,AOIBands,2,TRUE)</f>
        <v/>
      </c>
      <c r="O133">
        <f>VLOOKUP(Policies!H133,RateTables!$A$31:$B$35,2,TRUE)</f>
        <v/>
      </c>
      <c r="P133">
        <f>VLOOKUP(MIN(Policies!L133,3),ClaimsTable,2,FALSE)</f>
        <v/>
      </c>
      <c r="Q133">
        <f>ROUND(H133*I133*K133*L133*M133*N133*O133*P133,2)</f>
        <v/>
      </c>
      <c r="R133">
        <f>IF(Policies!J133="Y",1,0)</f>
        <v/>
      </c>
      <c r="S133">
        <f>IF(AND(Policies!L133=0,B133&gt;=3),1,0)</f>
        <v/>
      </c>
      <c r="T133">
        <f>IF(B133&lt;=5,1,0)</f>
        <v/>
      </c>
      <c r="U133">
        <f>IF(Policies!K133="Basic",1,0)</f>
        <v/>
      </c>
      <c r="V133">
        <f>IF(Policies!K133="Fortified",1,0)</f>
        <v/>
      </c>
      <c r="W133">
        <f>SUMPRODUCT(R133:V133,CreditPcts)</f>
        <v/>
      </c>
      <c r="X133">
        <f>MIN(W133,CreditCap)</f>
        <v/>
      </c>
      <c r="Y133">
        <f>ROUND(Q133*(1-X133),2)</f>
        <v/>
      </c>
      <c r="Z133">
        <f>IF(Policies!I133="",0.02,Policies!I133)</f>
        <v/>
      </c>
      <c r="AA133">
        <f>IFERROR(VLOOKUP(Z133,HurrDedTable,2,FALSE),1)</f>
        <v/>
      </c>
      <c r="AB133">
        <f>IFERROR(INDEX(RateTables!$L$31:$L$33,MATCH(Policies!K133,RateTables!$K$31:$K$33,0)),1)</f>
        <v/>
      </c>
      <c r="AC133">
        <f>ROUND(F133*D133*J133*AA133*AB133,2)</f>
        <v/>
      </c>
      <c r="AD133">
        <f>MIN(AC133,Policies!G133*HurrCapPct)</f>
        <v/>
      </c>
      <c r="AE133">
        <f>Y133+AD133</f>
        <v/>
      </c>
      <c r="AF133" s="1">
        <f>EDATE(Policies!M133,Policies!N133)</f>
        <v/>
      </c>
      <c r="AG133">
        <f>ROUND(YEARFRAC(Policies!M133,AF133,3),4)</f>
        <v/>
      </c>
      <c r="AH133">
        <f>ROUND(AE133*AG133,2)</f>
        <v/>
      </c>
      <c r="AI133">
        <f>MAX(AH133,MinPremium)</f>
        <v/>
      </c>
      <c r="AJ133">
        <f>ROUNDUP(AI133,0)</f>
        <v/>
      </c>
      <c r="AK133">
        <f>VLOOKUP(Policies!N133,FeeTable,2,FALSE)</f>
        <v/>
      </c>
      <c r="AL133">
        <f>ROUND(AJ133*AssessRate,2)</f>
        <v/>
      </c>
      <c r="AM133">
        <f>ROUND((AJ133+AK133)*G133,2)</f>
        <v/>
      </c>
      <c r="AN133">
        <f>AJ133+AK133+AL133+AM133</f>
        <v/>
      </c>
      <c r="AO133">
        <f>IF(OR(Policies!G133&gt;1000000,C133&gt;20,Policies!L133&gt;=3),"REFER","OK")</f>
        <v/>
      </c>
      <c r="AP133">
        <f>ROUND(AH133/D133,3)</f>
        <v/>
      </c>
      <c r="AQ133">
        <f>Policies!B133&amp;"-"&amp;LEFT(Policies!C133,1)&amp;TEXT(Policies!D133,"00")</f>
        <v/>
      </c>
    </row>
    <row r="134">
      <c r="A134">
        <f>Policies!A134</f>
        <v/>
      </c>
      <c r="B134">
        <f>IFERROR(DATEDIF(DATE(Policies!E134,1,1),Policies!M134,"y"),0)</f>
        <v/>
      </c>
      <c r="C134">
        <f>Policies!F134*1</f>
        <v/>
      </c>
      <c r="D134">
        <f>Policies!G134/1000</f>
        <v/>
      </c>
      <c r="E134">
        <f>VLOOKUP(Policies!B134,BaseRates,2,FALSE)</f>
        <v/>
      </c>
      <c r="F134">
        <f>VLOOKUP(Policies!B134,BaseRates,3,FALSE)</f>
        <v/>
      </c>
      <c r="G134">
        <f>VLOOKUP(Policies!B134,BaseRates,4,FALSE)</f>
        <v/>
      </c>
      <c r="H134">
        <f>ROUND(E134*D134,2)</f>
        <v/>
      </c>
      <c r="I134">
        <f>INDEX(RateTables!$B$13:$B$16,MATCH(Policies!C134,RateTables!$A$13:$A$16,0))</f>
        <v/>
      </c>
      <c r="J134">
        <f>INDEX(RateTables!$C$13:$C$16,MATCH(Policies!C134,RateTables!$A$13:$A$16,0))</f>
        <v/>
      </c>
      <c r="K134">
        <f>INDEX(RateTables!$B$19:$C$28,MATCH(Policies!D134,RateTables!$A$19:$A$28,0),IF(Policies!C134="Frame",1,2))</f>
        <v/>
      </c>
      <c r="L134">
        <f>VLOOKUP(B134,AgeBands,2,TRUE)</f>
        <v/>
      </c>
      <c r="M134">
        <f>VLOOKUP(C134,RoofBands,2,TRUE)</f>
        <v/>
      </c>
      <c r="N134">
        <f>VLOOKUP(Policies!G134,AOIBands,2,TRUE)</f>
        <v/>
      </c>
      <c r="O134">
        <f>VLOOKUP(Policies!H134,RateTables!$A$31:$B$35,2,TRUE)</f>
        <v/>
      </c>
      <c r="P134">
        <f>VLOOKUP(MIN(Policies!L134,3),ClaimsTable,2,FALSE)</f>
        <v/>
      </c>
      <c r="Q134">
        <f>ROUND(H134*I134*K134*L134*M134*N134*O134*P134,2)</f>
        <v/>
      </c>
      <c r="R134">
        <f>IF(Policies!J134="Y",1,0)</f>
        <v/>
      </c>
      <c r="S134">
        <f>IF(AND(Policies!L134=0,B134&gt;=3),1,0)</f>
        <v/>
      </c>
      <c r="T134">
        <f>IF(B134&lt;=5,1,0)</f>
        <v/>
      </c>
      <c r="U134">
        <f>IF(Policies!K134="Basic",1,0)</f>
        <v/>
      </c>
      <c r="V134">
        <f>IF(Policies!K134="Fortified",1,0)</f>
        <v/>
      </c>
      <c r="W134">
        <f>SUMPRODUCT(R134:V134,CreditPcts)</f>
        <v/>
      </c>
      <c r="X134">
        <f>MIN(W134,CreditCap)</f>
        <v/>
      </c>
      <c r="Y134">
        <f>ROUND(Q134*(1-X134),2)</f>
        <v/>
      </c>
      <c r="Z134">
        <f>IF(Policies!I134="",0.02,Policies!I134)</f>
        <v/>
      </c>
      <c r="AA134">
        <f>IFERROR(VLOOKUP(Z134,HurrDedTable,2,FALSE),1)</f>
        <v/>
      </c>
      <c r="AB134">
        <f>IFERROR(INDEX(RateTables!$L$31:$L$33,MATCH(Policies!K134,RateTables!$K$31:$K$33,0)),1)</f>
        <v/>
      </c>
      <c r="AC134">
        <f>ROUND(F134*D134*J134*AA134*AB134,2)</f>
        <v/>
      </c>
      <c r="AD134">
        <f>MIN(AC134,Policies!G134*HurrCapPct)</f>
        <v/>
      </c>
      <c r="AE134">
        <f>Y134+AD134</f>
        <v/>
      </c>
      <c r="AF134" s="1">
        <f>EDATE(Policies!M134,Policies!N134)</f>
        <v/>
      </c>
      <c r="AG134">
        <f>ROUND(YEARFRAC(Policies!M134,AF134,3),4)</f>
        <v/>
      </c>
      <c r="AH134">
        <f>ROUND(AE134*AG134,2)</f>
        <v/>
      </c>
      <c r="AI134">
        <f>MAX(AH134,MinPremium)</f>
        <v/>
      </c>
      <c r="AJ134">
        <f>ROUNDUP(AI134,0)</f>
        <v/>
      </c>
      <c r="AK134">
        <f>VLOOKUP(Policies!N134,FeeTable,2,FALSE)</f>
        <v/>
      </c>
      <c r="AL134">
        <f>ROUND(AJ134*AssessRate,2)</f>
        <v/>
      </c>
      <c r="AM134">
        <f>ROUND((AJ134+AK134)*G134,2)</f>
        <v/>
      </c>
      <c r="AN134">
        <f>AJ134+AK134+AL134+AM134</f>
        <v/>
      </c>
      <c r="AO134">
        <f>IF(OR(Policies!G134&gt;1000000,C134&gt;20,Policies!L134&gt;=3),"REFER","OK")</f>
        <v/>
      </c>
      <c r="AP134">
        <f>ROUND(AH134/D134,3)</f>
        <v/>
      </c>
      <c r="AQ134">
        <f>Policies!B134&amp;"-"&amp;LEFT(Policies!C134,1)&amp;TEXT(Policies!D134,"00")</f>
        <v/>
      </c>
    </row>
    <row r="135">
      <c r="A135">
        <f>Policies!A135</f>
        <v/>
      </c>
      <c r="B135">
        <f>IFERROR(DATEDIF(DATE(Policies!E135,1,1),Policies!M135,"y"),0)</f>
        <v/>
      </c>
      <c r="C135">
        <f>Policies!F135*1</f>
        <v/>
      </c>
      <c r="D135">
        <f>Policies!G135/1000</f>
        <v/>
      </c>
      <c r="E135">
        <f>VLOOKUP(Policies!B135,BaseRates,2,FALSE)</f>
        <v/>
      </c>
      <c r="F135">
        <f>VLOOKUP(Policies!B135,BaseRates,3,FALSE)</f>
        <v/>
      </c>
      <c r="G135">
        <f>VLOOKUP(Policies!B135,BaseRates,4,FALSE)</f>
        <v/>
      </c>
      <c r="H135">
        <f>ROUND(E135*D135,2)</f>
        <v/>
      </c>
      <c r="I135">
        <f>INDEX(RateTables!$B$13:$B$16,MATCH(Policies!C135,RateTables!$A$13:$A$16,0))</f>
        <v/>
      </c>
      <c r="J135">
        <f>INDEX(RateTables!$C$13:$C$16,MATCH(Policies!C135,RateTables!$A$13:$A$16,0))</f>
        <v/>
      </c>
      <c r="K135">
        <f>INDEX(RateTables!$B$19:$C$28,MATCH(Policies!D135,RateTables!$A$19:$A$28,0),IF(Policies!C135="Frame",1,2))</f>
        <v/>
      </c>
      <c r="L135">
        <f>VLOOKUP(B135,AgeBands,2,TRUE)</f>
        <v/>
      </c>
      <c r="M135">
        <f>VLOOKUP(C135,RoofBands,2,TRUE)</f>
        <v/>
      </c>
      <c r="N135">
        <f>VLOOKUP(Policies!G135,AOIBands,2,TRUE)</f>
        <v/>
      </c>
      <c r="O135">
        <f>VLOOKUP(Policies!H135,RateTables!$A$31:$B$35,2,TRUE)</f>
        <v/>
      </c>
      <c r="P135">
        <f>VLOOKUP(MIN(Policies!L135,3),ClaimsTable,2,FALSE)</f>
        <v/>
      </c>
      <c r="Q135">
        <f>ROUND(H135*I135*K135*L135*M135*N135*O135*P135,2)</f>
        <v/>
      </c>
      <c r="R135">
        <f>IF(Policies!J135="Y",1,0)</f>
        <v/>
      </c>
      <c r="S135">
        <f>IF(AND(Policies!L135=0,B135&gt;=3),1,0)</f>
        <v/>
      </c>
      <c r="T135">
        <f>IF(B135&lt;=5,1,0)</f>
        <v/>
      </c>
      <c r="U135">
        <f>IF(Policies!K135="Basic",1,0)</f>
        <v/>
      </c>
      <c r="V135">
        <f>IF(Policies!K135="Fortified",1,0)</f>
        <v/>
      </c>
      <c r="W135">
        <f>SUMPRODUCT(R135:V135,CreditPcts)</f>
        <v/>
      </c>
      <c r="X135">
        <f>MIN(W135,CreditCap)</f>
        <v/>
      </c>
      <c r="Y135">
        <f>ROUND(Q135*(1-X135),2)</f>
        <v/>
      </c>
      <c r="Z135">
        <f>IF(Policies!I135="",0.02,Policies!I135)</f>
        <v/>
      </c>
      <c r="AA135">
        <f>IFERROR(VLOOKUP(Z135,HurrDedTable,2,FALSE),1)</f>
        <v/>
      </c>
      <c r="AB135">
        <f>IFERROR(INDEX(RateTables!$L$31:$L$33,MATCH(Policies!K135,RateTables!$K$31:$K$33,0)),1)</f>
        <v/>
      </c>
      <c r="AC135">
        <f>ROUND(F135*D135*J135*AA135*AB135,2)</f>
        <v/>
      </c>
      <c r="AD135">
        <f>MIN(AC135,Policies!G135*HurrCapPct)</f>
        <v/>
      </c>
      <c r="AE135">
        <f>Y135+AD135</f>
        <v/>
      </c>
      <c r="AF135" s="1">
        <f>EDATE(Policies!M135,Policies!N135)</f>
        <v/>
      </c>
      <c r="AG135">
        <f>ROUND(YEARFRAC(Policies!M135,AF135,3),4)</f>
        <v/>
      </c>
      <c r="AH135">
        <f>ROUND(AE135*AG135,2)</f>
        <v/>
      </c>
      <c r="AI135">
        <f>MAX(AH135,MinPremium)</f>
        <v/>
      </c>
      <c r="AJ135">
        <f>ROUNDUP(AI135,0)</f>
        <v/>
      </c>
      <c r="AK135">
        <f>VLOOKUP(Policies!N135,FeeTable,2,FALSE)</f>
        <v/>
      </c>
      <c r="AL135">
        <f>ROUND(AJ135*AssessRate,2)</f>
        <v/>
      </c>
      <c r="AM135">
        <f>ROUND((AJ135+AK135)*G135,2)</f>
        <v/>
      </c>
      <c r="AN135">
        <f>AJ135+AK135+AL135+AM135</f>
        <v/>
      </c>
      <c r="AO135">
        <f>IF(OR(Policies!G135&gt;1000000,C135&gt;20,Policies!L135&gt;=3),"REFER","OK")</f>
        <v/>
      </c>
      <c r="AP135">
        <f>ROUND(AH135/D135,3)</f>
        <v/>
      </c>
      <c r="AQ135">
        <f>Policies!B135&amp;"-"&amp;LEFT(Policies!C135,1)&amp;TEXT(Policies!D135,"00")</f>
        <v/>
      </c>
    </row>
    <row r="136">
      <c r="A136">
        <f>Policies!A136</f>
        <v/>
      </c>
      <c r="B136">
        <f>IFERROR(DATEDIF(DATE(Policies!E136,1,1),Policies!M136,"y"),0)</f>
        <v/>
      </c>
      <c r="C136">
        <f>Policies!F136*1</f>
        <v/>
      </c>
      <c r="D136">
        <f>Policies!G136/1000</f>
        <v/>
      </c>
      <c r="E136">
        <f>VLOOKUP(Policies!B136,BaseRates,2,FALSE)</f>
        <v/>
      </c>
      <c r="F136">
        <f>VLOOKUP(Policies!B136,BaseRates,3,FALSE)</f>
        <v/>
      </c>
      <c r="G136">
        <f>VLOOKUP(Policies!B136,BaseRates,4,FALSE)</f>
        <v/>
      </c>
      <c r="H136">
        <f>ROUND(E136*D136,2)</f>
        <v/>
      </c>
      <c r="I136">
        <f>INDEX(RateTables!$B$13:$B$16,MATCH(Policies!C136,RateTables!$A$13:$A$16,0))</f>
        <v/>
      </c>
      <c r="J136">
        <f>INDEX(RateTables!$C$13:$C$16,MATCH(Policies!C136,RateTables!$A$13:$A$16,0))</f>
        <v/>
      </c>
      <c r="K136">
        <f>INDEX(RateTables!$B$19:$C$28,MATCH(Policies!D136,RateTables!$A$19:$A$28,0),IF(Policies!C136="Frame",1,2))</f>
        <v/>
      </c>
      <c r="L136">
        <f>VLOOKUP(B136,AgeBands,2,TRUE)</f>
        <v/>
      </c>
      <c r="M136">
        <f>VLOOKUP(C136,RoofBands,2,TRUE)</f>
        <v/>
      </c>
      <c r="N136">
        <f>VLOOKUP(Policies!G136,AOIBands,2,TRUE)</f>
        <v/>
      </c>
      <c r="O136">
        <f>VLOOKUP(Policies!H136,RateTables!$A$31:$B$35,2,TRUE)</f>
        <v/>
      </c>
      <c r="P136">
        <f>VLOOKUP(MIN(Policies!L136,3),ClaimsTable,2,FALSE)</f>
        <v/>
      </c>
      <c r="Q136">
        <f>ROUND(H136*I136*K136*L136*M136*N136*O136*P136,2)</f>
        <v/>
      </c>
      <c r="R136">
        <f>IF(Policies!J136="Y",1,0)</f>
        <v/>
      </c>
      <c r="S136">
        <f>IF(AND(Policies!L136=0,B136&gt;=3),1,0)</f>
        <v/>
      </c>
      <c r="T136">
        <f>IF(B136&lt;=5,1,0)</f>
        <v/>
      </c>
      <c r="U136">
        <f>IF(Policies!K136="Basic",1,0)</f>
        <v/>
      </c>
      <c r="V136">
        <f>IF(Policies!K136="Fortified",1,0)</f>
        <v/>
      </c>
      <c r="W136">
        <f>SUMPRODUCT(R136:V136,CreditPcts)</f>
        <v/>
      </c>
      <c r="X136">
        <f>MIN(W136,CreditCap)</f>
        <v/>
      </c>
      <c r="Y136">
        <f>ROUND(Q136*(1-X136),2)</f>
        <v/>
      </c>
      <c r="Z136">
        <f>IF(Policies!I136="",0.02,Policies!I136)</f>
        <v/>
      </c>
      <c r="AA136">
        <f>IFERROR(VLOOKUP(Z136,HurrDedTable,2,FALSE),1)</f>
        <v/>
      </c>
      <c r="AB136">
        <f>IFERROR(INDEX(RateTables!$L$31:$L$33,MATCH(Policies!K136,RateTables!$K$31:$K$33,0)),1)</f>
        <v/>
      </c>
      <c r="AC136">
        <f>ROUND(F136*D136*J136*AA136*AB136,2)</f>
        <v/>
      </c>
      <c r="AD136">
        <f>MIN(AC136,Policies!G136*HurrCapPct)</f>
        <v/>
      </c>
      <c r="AE136">
        <f>Y136+AD136</f>
        <v/>
      </c>
      <c r="AF136" s="1">
        <f>EDATE(Policies!M136,Policies!N136)</f>
        <v/>
      </c>
      <c r="AG136">
        <f>ROUND(YEARFRAC(Policies!M136,AF136,3),4)</f>
        <v/>
      </c>
      <c r="AH136">
        <f>ROUND(AE136*AG136,2)</f>
        <v/>
      </c>
      <c r="AI136">
        <f>MAX(AH136,MinPremium)</f>
        <v/>
      </c>
      <c r="AJ136">
        <f>ROUNDUP(AI136,0)</f>
        <v/>
      </c>
      <c r="AK136">
        <f>VLOOKUP(Policies!N136,FeeTable,2,FALSE)</f>
        <v/>
      </c>
      <c r="AL136">
        <f>ROUND(AJ136*AssessRate,2)</f>
        <v/>
      </c>
      <c r="AM136">
        <f>ROUND((AJ136+AK136)*G136,2)</f>
        <v/>
      </c>
      <c r="AN136">
        <f>AJ136+AK136+AL136+AM136</f>
        <v/>
      </c>
      <c r="AO136">
        <f>IF(OR(Policies!G136&gt;1000000,C136&gt;20,Policies!L136&gt;=3),"REFER","OK")</f>
        <v/>
      </c>
      <c r="AP136">
        <f>ROUND(AH136/D136,3)</f>
        <v/>
      </c>
      <c r="AQ136">
        <f>Policies!B136&amp;"-"&amp;LEFT(Policies!C136,1)&amp;TEXT(Policies!D136,"00")</f>
        <v/>
      </c>
    </row>
    <row r="137">
      <c r="A137">
        <f>Policies!A137</f>
        <v/>
      </c>
      <c r="B137">
        <f>IFERROR(DATEDIF(DATE(Policies!E137,1,1),Policies!M137,"y"),0)</f>
        <v/>
      </c>
      <c r="C137">
        <f>Policies!F137*1</f>
        <v/>
      </c>
      <c r="D137">
        <f>Policies!G137/1000</f>
        <v/>
      </c>
      <c r="E137">
        <f>VLOOKUP(Policies!B137,BaseRates,2,FALSE)</f>
        <v/>
      </c>
      <c r="F137">
        <f>VLOOKUP(Policies!B137,BaseRates,3,FALSE)</f>
        <v/>
      </c>
      <c r="G137">
        <f>VLOOKUP(Policies!B137,BaseRates,4,FALSE)</f>
        <v/>
      </c>
      <c r="H137">
        <f>ROUND(E137*D137,2)</f>
        <v/>
      </c>
      <c r="I137">
        <f>INDEX(RateTables!$B$13:$B$16,MATCH(Policies!C137,RateTables!$A$13:$A$16,0))</f>
        <v/>
      </c>
      <c r="J137">
        <f>INDEX(RateTables!$C$13:$C$16,MATCH(Policies!C137,RateTables!$A$13:$A$16,0))</f>
        <v/>
      </c>
      <c r="K137">
        <f>INDEX(RateTables!$B$19:$C$28,MATCH(Policies!D137,RateTables!$A$19:$A$28,0),IF(Policies!C137="Frame",1,2))</f>
        <v/>
      </c>
      <c r="L137">
        <f>VLOOKUP(B137,AgeBands,2,TRUE)</f>
        <v/>
      </c>
      <c r="M137">
        <f>VLOOKUP(C137,RoofBands,2,TRUE)</f>
        <v/>
      </c>
      <c r="N137">
        <f>VLOOKUP(Policies!G137,AOIBands,2,TRUE)</f>
        <v/>
      </c>
      <c r="O137">
        <f>VLOOKUP(Policies!H137,RateTables!$A$31:$B$35,2,TRUE)</f>
        <v/>
      </c>
      <c r="P137">
        <f>VLOOKUP(MIN(Policies!L137,3),ClaimsTable,2,FALSE)</f>
        <v/>
      </c>
      <c r="Q137">
        <f>ROUND(H137*I137*K137*L137*M137*N137*O137*P137,2)</f>
        <v/>
      </c>
      <c r="R137">
        <f>IF(Policies!J137="Y",1,0)</f>
        <v/>
      </c>
      <c r="S137">
        <f>IF(AND(Policies!L137=0,B137&gt;=3),1,0)</f>
        <v/>
      </c>
      <c r="T137">
        <f>IF(B137&lt;=5,1,0)</f>
        <v/>
      </c>
      <c r="U137">
        <f>IF(Policies!K137="Basic",1,0)</f>
        <v/>
      </c>
      <c r="V137">
        <f>IF(Policies!K137="Fortified",1,0)</f>
        <v/>
      </c>
      <c r="W137">
        <f>SUMPRODUCT(R137:V137,CreditPcts)</f>
        <v/>
      </c>
      <c r="X137">
        <f>MIN(W137,CreditCap)</f>
        <v/>
      </c>
      <c r="Y137">
        <f>ROUND(Q137*(1-X137),2)</f>
        <v/>
      </c>
      <c r="Z137">
        <f>IF(Policies!I137="",0.02,Policies!I137)</f>
        <v/>
      </c>
      <c r="AA137">
        <f>IFERROR(VLOOKUP(Z137,HurrDedTable,2,FALSE),1)</f>
        <v/>
      </c>
      <c r="AB137">
        <f>IFERROR(INDEX(RateTables!$L$31:$L$33,MATCH(Policies!K137,RateTables!$K$31:$K$33,0)),1)</f>
        <v/>
      </c>
      <c r="AC137">
        <f>ROUND(F137*D137*J137*AA137*AB137,2)</f>
        <v/>
      </c>
      <c r="AD137">
        <f>MIN(AC137,Policies!G137*HurrCapPct)</f>
        <v/>
      </c>
      <c r="AE137">
        <f>Y137+AD137</f>
        <v/>
      </c>
      <c r="AF137" s="1">
        <f>EDATE(Policies!M137,Policies!N137)</f>
        <v/>
      </c>
      <c r="AG137">
        <f>ROUND(YEARFRAC(Policies!M137,AF137,3),4)</f>
        <v/>
      </c>
      <c r="AH137">
        <f>ROUND(AE137*AG137,2)</f>
        <v/>
      </c>
      <c r="AI137">
        <f>MAX(AH137,MinPremium)</f>
        <v/>
      </c>
      <c r="AJ137">
        <f>ROUNDUP(AI137,0)</f>
        <v/>
      </c>
      <c r="AK137">
        <f>VLOOKUP(Policies!N137,FeeTable,2,FALSE)</f>
        <v/>
      </c>
      <c r="AL137">
        <f>ROUND(AJ137*AssessRate,2)</f>
        <v/>
      </c>
      <c r="AM137">
        <f>ROUND((AJ137+AK137)*G137,2)</f>
        <v/>
      </c>
      <c r="AN137">
        <f>AJ137+AK137+AL137+AM137</f>
        <v/>
      </c>
      <c r="AO137">
        <f>IF(OR(Policies!G137&gt;1000000,C137&gt;20,Policies!L137&gt;=3),"REFER","OK")</f>
        <v/>
      </c>
      <c r="AP137">
        <f>ROUND(AH137/D137,3)</f>
        <v/>
      </c>
      <c r="AQ137">
        <f>Policies!B137&amp;"-"&amp;LEFT(Policies!C137,1)&amp;TEXT(Policies!D137,"00")</f>
        <v/>
      </c>
    </row>
    <row r="138">
      <c r="A138">
        <f>Policies!A138</f>
        <v/>
      </c>
      <c r="B138">
        <f>IFERROR(DATEDIF(DATE(Policies!E138,1,1),Policies!M138,"y"),0)</f>
        <v/>
      </c>
      <c r="C138">
        <f>Policies!F138*1</f>
        <v/>
      </c>
      <c r="D138">
        <f>Policies!G138/1000</f>
        <v/>
      </c>
      <c r="E138">
        <f>VLOOKUP(Policies!B138,BaseRates,2,FALSE)</f>
        <v/>
      </c>
      <c r="F138">
        <f>VLOOKUP(Policies!B138,BaseRates,3,FALSE)</f>
        <v/>
      </c>
      <c r="G138">
        <f>VLOOKUP(Policies!B138,BaseRates,4,FALSE)</f>
        <v/>
      </c>
      <c r="H138">
        <f>ROUND(E138*D138,2)</f>
        <v/>
      </c>
      <c r="I138">
        <f>INDEX(RateTables!$B$13:$B$16,MATCH(Policies!C138,RateTables!$A$13:$A$16,0))</f>
        <v/>
      </c>
      <c r="J138">
        <f>INDEX(RateTables!$C$13:$C$16,MATCH(Policies!C138,RateTables!$A$13:$A$16,0))</f>
        <v/>
      </c>
      <c r="K138">
        <f>INDEX(RateTables!$B$19:$C$28,MATCH(Policies!D138,RateTables!$A$19:$A$28,0),IF(Policies!C138="Frame",1,2))</f>
        <v/>
      </c>
      <c r="L138">
        <f>VLOOKUP(B138,AgeBands,2,TRUE)</f>
        <v/>
      </c>
      <c r="M138">
        <f>VLOOKUP(C138,RoofBands,2,TRUE)</f>
        <v/>
      </c>
      <c r="N138">
        <f>VLOOKUP(Policies!G138,AOIBands,2,TRUE)</f>
        <v/>
      </c>
      <c r="O138">
        <f>VLOOKUP(Policies!H138,RateTables!$A$31:$B$35,2,TRUE)</f>
        <v/>
      </c>
      <c r="P138">
        <f>VLOOKUP(MIN(Policies!L138,3),ClaimsTable,2,FALSE)</f>
        <v/>
      </c>
      <c r="Q138">
        <f>ROUND(H138*I138*K138*L138*M138*N138*O138*P138,2)</f>
        <v/>
      </c>
      <c r="R138">
        <f>IF(Policies!J138="Y",1,0)</f>
        <v/>
      </c>
      <c r="S138">
        <f>IF(AND(Policies!L138=0,B138&gt;=3),1,0)</f>
        <v/>
      </c>
      <c r="T138">
        <f>IF(B138&lt;=5,1,0)</f>
        <v/>
      </c>
      <c r="U138">
        <f>IF(Policies!K138="Basic",1,0)</f>
        <v/>
      </c>
      <c r="V138">
        <f>IF(Policies!K138="Fortified",1,0)</f>
        <v/>
      </c>
      <c r="W138">
        <f>SUMPRODUCT(R138:V138,CreditPcts)</f>
        <v/>
      </c>
      <c r="X138">
        <f>MIN(W138,CreditCap)</f>
        <v/>
      </c>
      <c r="Y138">
        <f>ROUND(Q138*(1-X138),2)</f>
        <v/>
      </c>
      <c r="Z138">
        <f>IF(Policies!I138="",0.02,Policies!I138)</f>
        <v/>
      </c>
      <c r="AA138">
        <f>IFERROR(VLOOKUP(Z138,HurrDedTable,2,FALSE),1)</f>
        <v/>
      </c>
      <c r="AB138">
        <f>IFERROR(INDEX(RateTables!$L$31:$L$33,MATCH(Policies!K138,RateTables!$K$31:$K$33,0)),1)</f>
        <v/>
      </c>
      <c r="AC138">
        <f>ROUND(F138*D138*J138*AA138*AB138,2)</f>
        <v/>
      </c>
      <c r="AD138">
        <f>MIN(AC138,Policies!G138*HurrCapPct)</f>
        <v/>
      </c>
      <c r="AE138">
        <f>Y138+AD138</f>
        <v/>
      </c>
      <c r="AF138" s="1">
        <f>EDATE(Policies!M138,Policies!N138)</f>
        <v/>
      </c>
      <c r="AG138">
        <f>ROUND(YEARFRAC(Policies!M138,AF138,3),4)</f>
        <v/>
      </c>
      <c r="AH138">
        <f>ROUND(AE138*AG138,2)</f>
        <v/>
      </c>
      <c r="AI138">
        <f>MAX(AH138,MinPremium)</f>
        <v/>
      </c>
      <c r="AJ138">
        <f>ROUNDUP(AI138,0)</f>
        <v/>
      </c>
      <c r="AK138">
        <f>VLOOKUP(Policies!N138,FeeTable,2,FALSE)</f>
        <v/>
      </c>
      <c r="AL138">
        <f>ROUND(AJ138*AssessRate,2)</f>
        <v/>
      </c>
      <c r="AM138">
        <f>ROUND((AJ138+AK138)*G138,2)</f>
        <v/>
      </c>
      <c r="AN138">
        <f>AJ138+AK138+AL138+AM138</f>
        <v/>
      </c>
      <c r="AO138">
        <f>IF(OR(Policies!G138&gt;1000000,C138&gt;20,Policies!L138&gt;=3),"REFER","OK")</f>
        <v/>
      </c>
      <c r="AP138">
        <f>ROUND(AH138/D138,3)</f>
        <v/>
      </c>
      <c r="AQ138">
        <f>Policies!B138&amp;"-"&amp;LEFT(Policies!C138,1)&amp;TEXT(Policies!D138,"00")</f>
        <v/>
      </c>
    </row>
    <row r="139">
      <c r="A139">
        <f>Policies!A139</f>
        <v/>
      </c>
      <c r="B139">
        <f>IFERROR(DATEDIF(DATE(Policies!E139,1,1),Policies!M139,"y"),0)</f>
        <v/>
      </c>
      <c r="C139">
        <f>Policies!F139*1</f>
        <v/>
      </c>
      <c r="D139">
        <f>Policies!G139/1000</f>
        <v/>
      </c>
      <c r="E139">
        <f>VLOOKUP(Policies!B139,BaseRates,2,FALSE)</f>
        <v/>
      </c>
      <c r="F139">
        <f>VLOOKUP(Policies!B139,BaseRates,3,FALSE)</f>
        <v/>
      </c>
      <c r="G139">
        <f>VLOOKUP(Policies!B139,BaseRates,4,FALSE)</f>
        <v/>
      </c>
      <c r="H139">
        <f>ROUND(E139*D139,2)</f>
        <v/>
      </c>
      <c r="I139">
        <f>INDEX(RateTables!$B$13:$B$16,MATCH(Policies!C139,RateTables!$A$13:$A$16,0))</f>
        <v/>
      </c>
      <c r="J139">
        <f>INDEX(RateTables!$C$13:$C$16,MATCH(Policies!C139,RateTables!$A$13:$A$16,0))</f>
        <v/>
      </c>
      <c r="K139">
        <f>INDEX(RateTables!$B$19:$C$28,MATCH(Policies!D139,RateTables!$A$19:$A$28,0),IF(Policies!C139="Frame",1,2))</f>
        <v/>
      </c>
      <c r="L139">
        <f>VLOOKUP(B139,AgeBands,2,TRUE)</f>
        <v/>
      </c>
      <c r="M139">
        <f>VLOOKUP(C139,RoofBands,2,TRUE)</f>
        <v/>
      </c>
      <c r="N139">
        <f>VLOOKUP(Policies!G139,AOIBands,2,TRUE)</f>
        <v/>
      </c>
      <c r="O139">
        <f>VLOOKUP(Policies!H139,RateTables!$A$31:$B$35,2,TRUE)</f>
        <v/>
      </c>
      <c r="P139">
        <f>VLOOKUP(MIN(Policies!L139,3),ClaimsTable,2,FALSE)</f>
        <v/>
      </c>
      <c r="Q139">
        <f>ROUND(H139*I139*K139*L139*M139*N139*O139*P139,2)</f>
        <v/>
      </c>
      <c r="R139">
        <f>IF(Policies!J139="Y",1,0)</f>
        <v/>
      </c>
      <c r="S139">
        <f>IF(AND(Policies!L139=0,B139&gt;=3),1,0)</f>
        <v/>
      </c>
      <c r="T139">
        <f>IF(B139&lt;=5,1,0)</f>
        <v/>
      </c>
      <c r="U139">
        <f>IF(Policies!K139="Basic",1,0)</f>
        <v/>
      </c>
      <c r="V139">
        <f>IF(Policies!K139="Fortified",1,0)</f>
        <v/>
      </c>
      <c r="W139">
        <f>SUMPRODUCT(R139:V139,CreditPcts)</f>
        <v/>
      </c>
      <c r="X139">
        <f>MIN(W139,CreditCap)</f>
        <v/>
      </c>
      <c r="Y139">
        <f>ROUND(Q139*(1-X139),2)</f>
        <v/>
      </c>
      <c r="Z139">
        <f>IF(Policies!I139="",0.02,Policies!I139)</f>
        <v/>
      </c>
      <c r="AA139">
        <f>IFERROR(VLOOKUP(Z139,HurrDedTable,2,FALSE),1)</f>
        <v/>
      </c>
      <c r="AB139">
        <f>IFERROR(INDEX(RateTables!$L$31:$L$33,MATCH(Policies!K139,RateTables!$K$31:$K$33,0)),1)</f>
        <v/>
      </c>
      <c r="AC139">
        <f>ROUND(F139*D139*J139*AA139*AB139,2)</f>
        <v/>
      </c>
      <c r="AD139">
        <f>MIN(AC139,Policies!G139*HurrCapPct)</f>
        <v/>
      </c>
      <c r="AE139">
        <f>Y139+AD139</f>
        <v/>
      </c>
      <c r="AF139" s="1">
        <f>EDATE(Policies!M139,Policies!N139)</f>
        <v/>
      </c>
      <c r="AG139">
        <f>ROUND(YEARFRAC(Policies!M139,AF139,3),4)</f>
        <v/>
      </c>
      <c r="AH139">
        <f>ROUND(AE139*AG139,2)</f>
        <v/>
      </c>
      <c r="AI139">
        <f>MAX(AH139,MinPremium)</f>
        <v/>
      </c>
      <c r="AJ139">
        <f>ROUNDUP(AI139,0)</f>
        <v/>
      </c>
      <c r="AK139">
        <f>VLOOKUP(Policies!N139,FeeTable,2,FALSE)</f>
        <v/>
      </c>
      <c r="AL139">
        <f>ROUND(AJ139*AssessRate,2)</f>
        <v/>
      </c>
      <c r="AM139">
        <f>ROUND((AJ139+AK139)*G139,2)</f>
        <v/>
      </c>
      <c r="AN139">
        <f>AJ139+AK139+AL139+AM139</f>
        <v/>
      </c>
      <c r="AO139">
        <f>IF(OR(Policies!G139&gt;1000000,C139&gt;20,Policies!L139&gt;=3),"REFER","OK")</f>
        <v/>
      </c>
      <c r="AP139">
        <f>ROUND(AH139/D139,3)</f>
        <v/>
      </c>
      <c r="AQ139">
        <f>Policies!B139&amp;"-"&amp;LEFT(Policies!C139,1)&amp;TEXT(Policies!D139,"00")</f>
        <v/>
      </c>
    </row>
    <row r="140">
      <c r="A140">
        <f>Policies!A140</f>
        <v/>
      </c>
      <c r="B140">
        <f>IFERROR(DATEDIF(DATE(Policies!E140,1,1),Policies!M140,"y"),0)</f>
        <v/>
      </c>
      <c r="C140">
        <f>Policies!F140*1</f>
        <v/>
      </c>
      <c r="D140">
        <f>Policies!G140/1000</f>
        <v/>
      </c>
      <c r="E140">
        <f>VLOOKUP(Policies!B140,BaseRates,2,FALSE)</f>
        <v/>
      </c>
      <c r="F140">
        <f>VLOOKUP(Policies!B140,BaseRates,3,FALSE)</f>
        <v/>
      </c>
      <c r="G140">
        <f>VLOOKUP(Policies!B140,BaseRates,4,FALSE)</f>
        <v/>
      </c>
      <c r="H140">
        <f>ROUND(E140*D140,2)</f>
        <v/>
      </c>
      <c r="I140">
        <f>INDEX(RateTables!$B$13:$B$16,MATCH(Policies!C140,RateTables!$A$13:$A$16,0))</f>
        <v/>
      </c>
      <c r="J140">
        <f>INDEX(RateTables!$C$13:$C$16,MATCH(Policies!C140,RateTables!$A$13:$A$16,0))</f>
        <v/>
      </c>
      <c r="K140">
        <f>INDEX(RateTables!$B$19:$C$28,MATCH(Policies!D140,RateTables!$A$19:$A$28,0),IF(Policies!C140="Frame",1,2))</f>
        <v/>
      </c>
      <c r="L140">
        <f>VLOOKUP(B140,AgeBands,2,TRUE)</f>
        <v/>
      </c>
      <c r="M140">
        <f>VLOOKUP(C140,RoofBands,2,TRUE)</f>
        <v/>
      </c>
      <c r="N140">
        <f>VLOOKUP(Policies!G140,AOIBands,2,TRUE)</f>
        <v/>
      </c>
      <c r="O140">
        <f>VLOOKUP(Policies!H140,RateTables!$A$31:$B$35,2,TRUE)</f>
        <v/>
      </c>
      <c r="P140">
        <f>VLOOKUP(MIN(Policies!L140,3),ClaimsTable,2,FALSE)</f>
        <v/>
      </c>
      <c r="Q140">
        <f>ROUND(H140*I140*K140*L140*M140*N140*O140*P140,2)</f>
        <v/>
      </c>
      <c r="R140">
        <f>IF(Policies!J140="Y",1,0)</f>
        <v/>
      </c>
      <c r="S140">
        <f>IF(AND(Policies!L140=0,B140&gt;=3),1,0)</f>
        <v/>
      </c>
      <c r="T140">
        <f>IF(B140&lt;=5,1,0)</f>
        <v/>
      </c>
      <c r="U140">
        <f>IF(Policies!K140="Basic",1,0)</f>
        <v/>
      </c>
      <c r="V140">
        <f>IF(Policies!K140="Fortified",1,0)</f>
        <v/>
      </c>
      <c r="W140">
        <f>SUMPRODUCT(R140:V140,CreditPcts)</f>
        <v/>
      </c>
      <c r="X140">
        <f>MIN(W140,CreditCap)</f>
        <v/>
      </c>
      <c r="Y140">
        <f>ROUND(Q140*(1-X140),2)</f>
        <v/>
      </c>
      <c r="Z140">
        <f>IF(Policies!I140="",0.02,Policies!I140)</f>
        <v/>
      </c>
      <c r="AA140">
        <f>IFERROR(VLOOKUP(Z140,HurrDedTable,2,FALSE),1)</f>
        <v/>
      </c>
      <c r="AB140">
        <f>IFERROR(INDEX(RateTables!$L$31:$L$33,MATCH(Policies!K140,RateTables!$K$31:$K$33,0)),1)</f>
        <v/>
      </c>
      <c r="AC140">
        <f>ROUND(F140*D140*J140*AA140*AB140,2)</f>
        <v/>
      </c>
      <c r="AD140">
        <f>MIN(AC140,Policies!G140*HurrCapPct)</f>
        <v/>
      </c>
      <c r="AE140">
        <f>Y140+AD140</f>
        <v/>
      </c>
      <c r="AF140" s="1">
        <f>EDATE(Policies!M140,Policies!N140)</f>
        <v/>
      </c>
      <c r="AG140">
        <f>ROUND(YEARFRAC(Policies!M140,AF140,3),4)</f>
        <v/>
      </c>
      <c r="AH140">
        <f>ROUND(AE140*AG140,2)</f>
        <v/>
      </c>
      <c r="AI140">
        <f>MAX(AH140,MinPremium)</f>
        <v/>
      </c>
      <c r="AJ140">
        <f>ROUNDUP(AI140,0)</f>
        <v/>
      </c>
      <c r="AK140">
        <f>VLOOKUP(Policies!N140,FeeTable,2,FALSE)</f>
        <v/>
      </c>
      <c r="AL140">
        <f>ROUND(AJ140*AssessRate,2)</f>
        <v/>
      </c>
      <c r="AM140">
        <f>ROUND((AJ140+AK140)*G140,2)</f>
        <v/>
      </c>
      <c r="AN140">
        <f>AJ140+AK140+AL140+AM140</f>
        <v/>
      </c>
      <c r="AO140">
        <f>IF(OR(Policies!G140&gt;1000000,C140&gt;20,Policies!L140&gt;=3),"REFER","OK")</f>
        <v/>
      </c>
      <c r="AP140">
        <f>ROUND(AH140/D140,3)</f>
        <v/>
      </c>
      <c r="AQ140">
        <f>Policies!B140&amp;"-"&amp;LEFT(Policies!C140,1)&amp;TEXT(Policies!D140,"00")</f>
        <v/>
      </c>
    </row>
    <row r="141">
      <c r="A141">
        <f>Policies!A141</f>
        <v/>
      </c>
      <c r="B141">
        <f>IFERROR(DATEDIF(DATE(Policies!E141,1,1),Policies!M141,"y"),0)</f>
        <v/>
      </c>
      <c r="C141">
        <f>Policies!F141*1</f>
        <v/>
      </c>
      <c r="D141">
        <f>Policies!G141/1000</f>
        <v/>
      </c>
      <c r="E141">
        <f>VLOOKUP(Policies!B141,BaseRates,2,FALSE)</f>
        <v/>
      </c>
      <c r="F141">
        <f>VLOOKUP(Policies!B141,BaseRates,3,FALSE)</f>
        <v/>
      </c>
      <c r="G141">
        <f>VLOOKUP(Policies!B141,BaseRates,4,FALSE)</f>
        <v/>
      </c>
      <c r="H141">
        <f>ROUND(E141*D141,2)</f>
        <v/>
      </c>
      <c r="I141">
        <f>INDEX(RateTables!$B$13:$B$16,MATCH(Policies!C141,RateTables!$A$13:$A$16,0))</f>
        <v/>
      </c>
      <c r="J141">
        <f>INDEX(RateTables!$C$13:$C$16,MATCH(Policies!C141,RateTables!$A$13:$A$16,0))</f>
        <v/>
      </c>
      <c r="K141">
        <f>INDEX(RateTables!$B$19:$C$28,MATCH(Policies!D141,RateTables!$A$19:$A$28,0),IF(Policies!C141="Frame",1,2))</f>
        <v/>
      </c>
      <c r="L141">
        <f>VLOOKUP(B141,AgeBands,2,TRUE)</f>
        <v/>
      </c>
      <c r="M141">
        <f>VLOOKUP(C141,RoofBands,2,TRUE)</f>
        <v/>
      </c>
      <c r="N141">
        <f>VLOOKUP(Policies!G141,AOIBands,2,TRUE)</f>
        <v/>
      </c>
      <c r="O141">
        <f>VLOOKUP(Policies!H141,RateTables!$A$31:$B$35,2,TRUE)</f>
        <v/>
      </c>
      <c r="P141">
        <f>VLOOKUP(MIN(Policies!L141,3),ClaimsTable,2,FALSE)</f>
        <v/>
      </c>
      <c r="Q141">
        <f>ROUND(H141*I141*K141*L141*M141*N141*O141*P141,2)</f>
        <v/>
      </c>
      <c r="R141">
        <f>IF(Policies!J141="Y",1,0)</f>
        <v/>
      </c>
      <c r="S141">
        <f>IF(AND(Policies!L141=0,B141&gt;=3),1,0)</f>
        <v/>
      </c>
      <c r="T141">
        <f>IF(B141&lt;=5,1,0)</f>
        <v/>
      </c>
      <c r="U141">
        <f>IF(Policies!K141="Basic",1,0)</f>
        <v/>
      </c>
      <c r="V141">
        <f>IF(Policies!K141="Fortified",1,0)</f>
        <v/>
      </c>
      <c r="W141">
        <f>SUMPRODUCT(R141:V141,CreditPcts)</f>
        <v/>
      </c>
      <c r="X141">
        <f>MIN(W141,CreditCap)</f>
        <v/>
      </c>
      <c r="Y141">
        <f>ROUND(Q141*(1-X141),2)</f>
        <v/>
      </c>
      <c r="Z141">
        <f>IF(Policies!I141="",0.02,Policies!I141)</f>
        <v/>
      </c>
      <c r="AA141">
        <f>IFERROR(VLOOKUP(Z141,HurrDedTable,2,FALSE),1)</f>
        <v/>
      </c>
      <c r="AB141">
        <f>IFERROR(INDEX(RateTables!$L$31:$L$33,MATCH(Policies!K141,RateTables!$K$31:$K$33,0)),1)</f>
        <v/>
      </c>
      <c r="AC141">
        <f>ROUND(F141*D141*J141*AA141*AB141,2)</f>
        <v/>
      </c>
      <c r="AD141">
        <f>MIN(AC141,Policies!G141*HurrCapPct)</f>
        <v/>
      </c>
      <c r="AE141">
        <f>Y141+AD141</f>
        <v/>
      </c>
      <c r="AF141" s="1">
        <f>EDATE(Policies!M141,Policies!N141)</f>
        <v/>
      </c>
      <c r="AG141">
        <f>ROUND(YEARFRAC(Policies!M141,AF141,3),4)</f>
        <v/>
      </c>
      <c r="AH141">
        <f>ROUND(AE141*AG141,2)</f>
        <v/>
      </c>
      <c r="AI141">
        <f>MAX(AH141,MinPremium)</f>
        <v/>
      </c>
      <c r="AJ141">
        <f>ROUNDUP(AI141,0)</f>
        <v/>
      </c>
      <c r="AK141">
        <f>VLOOKUP(Policies!N141,FeeTable,2,FALSE)</f>
        <v/>
      </c>
      <c r="AL141">
        <f>ROUND(AJ141*AssessRate,2)</f>
        <v/>
      </c>
      <c r="AM141">
        <f>ROUND((AJ141+AK141)*G141,2)</f>
        <v/>
      </c>
      <c r="AN141">
        <f>AJ141+AK141+AL141+AM141</f>
        <v/>
      </c>
      <c r="AO141">
        <f>IF(OR(Policies!G141&gt;1000000,C141&gt;20,Policies!L141&gt;=3),"REFER","OK")</f>
        <v/>
      </c>
      <c r="AP141">
        <f>ROUND(AH141/D141,3)</f>
        <v/>
      </c>
      <c r="AQ141">
        <f>Policies!B141&amp;"-"&amp;LEFT(Policies!C141,1)&amp;TEXT(Policies!D141,"00")</f>
        <v/>
      </c>
    </row>
    <row r="142">
      <c r="A142">
        <f>Policies!A142</f>
        <v/>
      </c>
      <c r="B142">
        <f>IFERROR(DATEDIF(DATE(Policies!E142,1,1),Policies!M142,"y"),0)</f>
        <v/>
      </c>
      <c r="C142">
        <f>Policies!F142*1</f>
        <v/>
      </c>
      <c r="D142">
        <f>Policies!G142/1000</f>
        <v/>
      </c>
      <c r="E142">
        <f>VLOOKUP(Policies!B142,BaseRates,2,FALSE)</f>
        <v/>
      </c>
      <c r="F142">
        <f>VLOOKUP(Policies!B142,BaseRates,3,FALSE)</f>
        <v/>
      </c>
      <c r="G142">
        <f>VLOOKUP(Policies!B142,BaseRates,4,FALSE)</f>
        <v/>
      </c>
      <c r="H142">
        <f>ROUND(E142*D142,2)</f>
        <v/>
      </c>
      <c r="I142">
        <f>INDEX(RateTables!$B$13:$B$16,MATCH(Policies!C142,RateTables!$A$13:$A$16,0))</f>
        <v/>
      </c>
      <c r="J142">
        <f>INDEX(RateTables!$C$13:$C$16,MATCH(Policies!C142,RateTables!$A$13:$A$16,0))</f>
        <v/>
      </c>
      <c r="K142">
        <f>INDEX(RateTables!$B$19:$C$28,MATCH(Policies!D142,RateTables!$A$19:$A$28,0),IF(Policies!C142="Frame",1,2))</f>
        <v/>
      </c>
      <c r="L142">
        <f>VLOOKUP(B142,AgeBands,2,TRUE)</f>
        <v/>
      </c>
      <c r="M142">
        <f>VLOOKUP(C142,RoofBands,2,TRUE)</f>
        <v/>
      </c>
      <c r="N142">
        <f>VLOOKUP(Policies!G142,AOIBands,2,TRUE)</f>
        <v/>
      </c>
      <c r="O142">
        <f>VLOOKUP(Policies!H142,RateTables!$A$31:$B$35,2,TRUE)</f>
        <v/>
      </c>
      <c r="P142">
        <f>VLOOKUP(MIN(Policies!L142,3),ClaimsTable,2,FALSE)</f>
        <v/>
      </c>
      <c r="Q142">
        <f>ROUND(H142*I142*K142*L142*M142*N142*O142*P142,2)</f>
        <v/>
      </c>
      <c r="R142">
        <f>IF(Policies!J142="Y",1,0)</f>
        <v/>
      </c>
      <c r="S142">
        <f>IF(AND(Policies!L142=0,B142&gt;=3),1,0)</f>
        <v/>
      </c>
      <c r="T142">
        <f>IF(B142&lt;=5,1,0)</f>
        <v/>
      </c>
      <c r="U142">
        <f>IF(Policies!K142="Basic",1,0)</f>
        <v/>
      </c>
      <c r="V142">
        <f>IF(Policies!K142="Fortified",1,0)</f>
        <v/>
      </c>
      <c r="W142">
        <f>SUMPRODUCT(R142:V142,CreditPcts)</f>
        <v/>
      </c>
      <c r="X142">
        <f>MIN(W142,CreditCap)</f>
        <v/>
      </c>
      <c r="Y142">
        <f>ROUND(Q142*(1-X142),2)</f>
        <v/>
      </c>
      <c r="Z142">
        <f>IF(Policies!I142="",0.02,Policies!I142)</f>
        <v/>
      </c>
      <c r="AA142">
        <f>IFERROR(VLOOKUP(Z142,HurrDedTable,2,FALSE),1)</f>
        <v/>
      </c>
      <c r="AB142">
        <f>IFERROR(INDEX(RateTables!$L$31:$L$33,MATCH(Policies!K142,RateTables!$K$31:$K$33,0)),1)</f>
        <v/>
      </c>
      <c r="AC142">
        <f>ROUND(F142*D142*J142*AA142*AB142,2)</f>
        <v/>
      </c>
      <c r="AD142">
        <f>MIN(AC142,Policies!G142*HurrCapPct)</f>
        <v/>
      </c>
      <c r="AE142">
        <f>Y142+AD142</f>
        <v/>
      </c>
      <c r="AF142" s="1">
        <f>EDATE(Policies!M142,Policies!N142)</f>
        <v/>
      </c>
      <c r="AG142">
        <f>ROUND(YEARFRAC(Policies!M142,AF142,3),4)</f>
        <v/>
      </c>
      <c r="AH142">
        <f>ROUND(AE142*AG142,2)</f>
        <v/>
      </c>
      <c r="AI142">
        <f>MAX(AH142,MinPremium)</f>
        <v/>
      </c>
      <c r="AJ142">
        <f>ROUNDUP(AI142,0)</f>
        <v/>
      </c>
      <c r="AK142">
        <f>VLOOKUP(Policies!N142,FeeTable,2,FALSE)</f>
        <v/>
      </c>
      <c r="AL142">
        <f>ROUND(AJ142*AssessRate,2)</f>
        <v/>
      </c>
      <c r="AM142">
        <f>ROUND((AJ142+AK142)*G142,2)</f>
        <v/>
      </c>
      <c r="AN142">
        <f>AJ142+AK142+AL142+AM142</f>
        <v/>
      </c>
      <c r="AO142">
        <f>IF(OR(Policies!G142&gt;1000000,C142&gt;20,Policies!L142&gt;=3),"REFER","OK")</f>
        <v/>
      </c>
      <c r="AP142">
        <f>ROUND(AH142/D142,3)</f>
        <v/>
      </c>
      <c r="AQ142">
        <f>Policies!B142&amp;"-"&amp;LEFT(Policies!C142,1)&amp;TEXT(Policies!D142,"00")</f>
        <v/>
      </c>
    </row>
    <row r="143">
      <c r="A143">
        <f>Policies!A143</f>
        <v/>
      </c>
      <c r="B143">
        <f>IFERROR(DATEDIF(DATE(Policies!E143,1,1),Policies!M143,"y"),0)</f>
        <v/>
      </c>
      <c r="C143">
        <f>Policies!F143*1</f>
        <v/>
      </c>
      <c r="D143">
        <f>Policies!G143/1000</f>
        <v/>
      </c>
      <c r="E143">
        <f>VLOOKUP(Policies!B143,BaseRates,2,FALSE)</f>
        <v/>
      </c>
      <c r="F143">
        <f>VLOOKUP(Policies!B143,BaseRates,3,FALSE)</f>
        <v/>
      </c>
      <c r="G143">
        <f>VLOOKUP(Policies!B143,BaseRates,4,FALSE)</f>
        <v/>
      </c>
      <c r="H143">
        <f>ROUND(E143*D143,2)</f>
        <v/>
      </c>
      <c r="I143">
        <f>INDEX(RateTables!$B$13:$B$16,MATCH(Policies!C143,RateTables!$A$13:$A$16,0))</f>
        <v/>
      </c>
      <c r="J143">
        <f>INDEX(RateTables!$C$13:$C$16,MATCH(Policies!C143,RateTables!$A$13:$A$16,0))</f>
        <v/>
      </c>
      <c r="K143">
        <f>INDEX(RateTables!$B$19:$C$28,MATCH(Policies!D143,RateTables!$A$19:$A$28,0),IF(Policies!C143="Frame",1,2))</f>
        <v/>
      </c>
      <c r="L143">
        <f>VLOOKUP(B143,AgeBands,2,TRUE)</f>
        <v/>
      </c>
      <c r="M143">
        <f>VLOOKUP(C143,RoofBands,2,TRUE)</f>
        <v/>
      </c>
      <c r="N143">
        <f>VLOOKUP(Policies!G143,AOIBands,2,TRUE)</f>
        <v/>
      </c>
      <c r="O143">
        <f>VLOOKUP(Policies!H143,RateTables!$A$31:$B$35,2,TRUE)</f>
        <v/>
      </c>
      <c r="P143">
        <f>VLOOKUP(MIN(Policies!L143,3),ClaimsTable,2,FALSE)</f>
        <v/>
      </c>
      <c r="Q143">
        <f>ROUND(H143*I143*K143*L143*M143*N143*O143*P143,2)</f>
        <v/>
      </c>
      <c r="R143">
        <f>IF(Policies!J143="Y",1,0)</f>
        <v/>
      </c>
      <c r="S143">
        <f>IF(AND(Policies!L143=0,B143&gt;=3),1,0)</f>
        <v/>
      </c>
      <c r="T143">
        <f>IF(B143&lt;=5,1,0)</f>
        <v/>
      </c>
      <c r="U143">
        <f>IF(Policies!K143="Basic",1,0)</f>
        <v/>
      </c>
      <c r="V143">
        <f>IF(Policies!K143="Fortified",1,0)</f>
        <v/>
      </c>
      <c r="W143">
        <f>SUMPRODUCT(R143:V143,CreditPcts)</f>
        <v/>
      </c>
      <c r="X143">
        <f>MIN(W143,CreditCap)</f>
        <v/>
      </c>
      <c r="Y143">
        <f>ROUND(Q143*(1-X143),2)</f>
        <v/>
      </c>
      <c r="Z143">
        <f>IF(Policies!I143="",0.02,Policies!I143)</f>
        <v/>
      </c>
      <c r="AA143">
        <f>IFERROR(VLOOKUP(Z143,HurrDedTable,2,FALSE),1)</f>
        <v/>
      </c>
      <c r="AB143">
        <f>IFERROR(INDEX(RateTables!$L$31:$L$33,MATCH(Policies!K143,RateTables!$K$31:$K$33,0)),1)</f>
        <v/>
      </c>
      <c r="AC143">
        <f>ROUND(F143*D143*J143*AA143*AB143,2)</f>
        <v/>
      </c>
      <c r="AD143">
        <f>MIN(AC143,Policies!G143*HurrCapPct)</f>
        <v/>
      </c>
      <c r="AE143">
        <f>Y143+AD143</f>
        <v/>
      </c>
      <c r="AF143" s="1">
        <f>EDATE(Policies!M143,Policies!N143)</f>
        <v/>
      </c>
      <c r="AG143">
        <f>ROUND(YEARFRAC(Policies!M143,AF143,3),4)</f>
        <v/>
      </c>
      <c r="AH143">
        <f>ROUND(AE143*AG143,2)</f>
        <v/>
      </c>
      <c r="AI143">
        <f>MAX(AH143,MinPremium)</f>
        <v/>
      </c>
      <c r="AJ143">
        <f>ROUNDUP(AI143,0)</f>
        <v/>
      </c>
      <c r="AK143">
        <f>VLOOKUP(Policies!N143,FeeTable,2,FALSE)</f>
        <v/>
      </c>
      <c r="AL143">
        <f>ROUND(AJ143*AssessRate,2)</f>
        <v/>
      </c>
      <c r="AM143">
        <f>ROUND((AJ143+AK143)*G143,2)</f>
        <v/>
      </c>
      <c r="AN143">
        <f>AJ143+AK143+AL143+AM143</f>
        <v/>
      </c>
      <c r="AO143">
        <f>IF(OR(Policies!G143&gt;1000000,C143&gt;20,Policies!L143&gt;=3),"REFER","OK")</f>
        <v/>
      </c>
      <c r="AP143">
        <f>ROUND(AH143/D143,3)</f>
        <v/>
      </c>
      <c r="AQ143">
        <f>Policies!B143&amp;"-"&amp;LEFT(Policies!C143,1)&amp;TEXT(Policies!D143,"00")</f>
        <v/>
      </c>
    </row>
    <row r="144">
      <c r="A144">
        <f>Policies!A144</f>
        <v/>
      </c>
      <c r="B144">
        <f>IFERROR(DATEDIF(DATE(Policies!E144,1,1),Policies!M144,"y"),0)</f>
        <v/>
      </c>
      <c r="C144">
        <f>Policies!F144*1</f>
        <v/>
      </c>
      <c r="D144">
        <f>Policies!G144/1000</f>
        <v/>
      </c>
      <c r="E144">
        <f>VLOOKUP(Policies!B144,BaseRates,2,FALSE)</f>
        <v/>
      </c>
      <c r="F144">
        <f>VLOOKUP(Policies!B144,BaseRates,3,FALSE)</f>
        <v/>
      </c>
      <c r="G144">
        <f>VLOOKUP(Policies!B144,BaseRates,4,FALSE)</f>
        <v/>
      </c>
      <c r="H144">
        <f>ROUND(E144*D144,2)</f>
        <v/>
      </c>
      <c r="I144">
        <f>INDEX(RateTables!$B$13:$B$16,MATCH(Policies!C144,RateTables!$A$13:$A$16,0))</f>
        <v/>
      </c>
      <c r="J144">
        <f>INDEX(RateTables!$C$13:$C$16,MATCH(Policies!C144,RateTables!$A$13:$A$16,0))</f>
        <v/>
      </c>
      <c r="K144">
        <f>INDEX(RateTables!$B$19:$C$28,MATCH(Policies!D144,RateTables!$A$19:$A$28,0),IF(Policies!C144="Frame",1,2))</f>
        <v/>
      </c>
      <c r="L144">
        <f>VLOOKUP(B144,AgeBands,2,TRUE)</f>
        <v/>
      </c>
      <c r="M144">
        <f>VLOOKUP(C144,RoofBands,2,TRUE)</f>
        <v/>
      </c>
      <c r="N144">
        <f>VLOOKUP(Policies!G144,AOIBands,2,TRUE)</f>
        <v/>
      </c>
      <c r="O144">
        <f>VLOOKUP(Policies!H144,RateTables!$A$31:$B$35,2,TRUE)</f>
        <v/>
      </c>
      <c r="P144">
        <f>VLOOKUP(MIN(Policies!L144,3),ClaimsTable,2,FALSE)</f>
        <v/>
      </c>
      <c r="Q144">
        <f>ROUND(H144*I144*K144*L144*M144*N144*O144*P144,2)</f>
        <v/>
      </c>
      <c r="R144">
        <f>IF(Policies!J144="Y",1,0)</f>
        <v/>
      </c>
      <c r="S144">
        <f>IF(AND(Policies!L144=0,B144&gt;=3),1,0)</f>
        <v/>
      </c>
      <c r="T144">
        <f>IF(B144&lt;=5,1,0)</f>
        <v/>
      </c>
      <c r="U144">
        <f>IF(Policies!K144="Basic",1,0)</f>
        <v/>
      </c>
      <c r="V144">
        <f>IF(Policies!K144="Fortified",1,0)</f>
        <v/>
      </c>
      <c r="W144">
        <f>SUMPRODUCT(R144:V144,CreditPcts)</f>
        <v/>
      </c>
      <c r="X144">
        <f>MIN(W144,CreditCap)</f>
        <v/>
      </c>
      <c r="Y144">
        <f>ROUND(Q144*(1-X144),2)</f>
        <v/>
      </c>
      <c r="Z144">
        <f>IF(Policies!I144="",0.02,Policies!I144)</f>
        <v/>
      </c>
      <c r="AA144">
        <f>IFERROR(VLOOKUP(Z144,HurrDedTable,2,FALSE),1)</f>
        <v/>
      </c>
      <c r="AB144">
        <f>IFERROR(INDEX(RateTables!$L$31:$L$33,MATCH(Policies!K144,RateTables!$K$31:$K$33,0)),1)</f>
        <v/>
      </c>
      <c r="AC144">
        <f>ROUND(F144*D144*J144*AA144*AB144,2)</f>
        <v/>
      </c>
      <c r="AD144">
        <f>MIN(AC144,Policies!G144*HurrCapPct)</f>
        <v/>
      </c>
      <c r="AE144">
        <f>Y144+AD144</f>
        <v/>
      </c>
      <c r="AF144" s="1">
        <f>EDATE(Policies!M144,Policies!N144)</f>
        <v/>
      </c>
      <c r="AG144">
        <f>ROUND(YEARFRAC(Policies!M144,AF144,3),4)</f>
        <v/>
      </c>
      <c r="AH144">
        <f>ROUND(AE144*AG144,2)</f>
        <v/>
      </c>
      <c r="AI144">
        <f>MAX(AH144,MinPremium)</f>
        <v/>
      </c>
      <c r="AJ144">
        <f>ROUNDUP(AI144,0)</f>
        <v/>
      </c>
      <c r="AK144">
        <f>VLOOKUP(Policies!N144,FeeTable,2,FALSE)</f>
        <v/>
      </c>
      <c r="AL144">
        <f>ROUND(AJ144*AssessRate,2)</f>
        <v/>
      </c>
      <c r="AM144">
        <f>ROUND((AJ144+AK144)*G144,2)</f>
        <v/>
      </c>
      <c r="AN144">
        <f>AJ144+AK144+AL144+AM144</f>
        <v/>
      </c>
      <c r="AO144">
        <f>IF(OR(Policies!G144&gt;1000000,C144&gt;20,Policies!L144&gt;=3),"REFER","OK")</f>
        <v/>
      </c>
      <c r="AP144">
        <f>ROUND(AH144/D144,3)</f>
        <v/>
      </c>
      <c r="AQ144">
        <f>Policies!B144&amp;"-"&amp;LEFT(Policies!C144,1)&amp;TEXT(Policies!D144,"00")</f>
        <v/>
      </c>
    </row>
    <row r="145">
      <c r="A145">
        <f>Policies!A145</f>
        <v/>
      </c>
      <c r="B145">
        <f>IFERROR(DATEDIF(DATE(Policies!E145,1,1),Policies!M145,"y"),0)</f>
        <v/>
      </c>
      <c r="C145">
        <f>Policies!F145*1</f>
        <v/>
      </c>
      <c r="D145">
        <f>Policies!G145/1000</f>
        <v/>
      </c>
      <c r="E145">
        <f>VLOOKUP(Policies!B145,BaseRates,2,FALSE)</f>
        <v/>
      </c>
      <c r="F145">
        <f>VLOOKUP(Policies!B145,BaseRates,3,FALSE)</f>
        <v/>
      </c>
      <c r="G145">
        <f>VLOOKUP(Policies!B145,BaseRates,4,FALSE)</f>
        <v/>
      </c>
      <c r="H145">
        <f>ROUND(E145*D145,2)</f>
        <v/>
      </c>
      <c r="I145">
        <f>INDEX(RateTables!$B$13:$B$16,MATCH(Policies!C145,RateTables!$A$13:$A$16,0))</f>
        <v/>
      </c>
      <c r="J145">
        <f>INDEX(RateTables!$C$13:$C$16,MATCH(Policies!C145,RateTables!$A$13:$A$16,0))</f>
        <v/>
      </c>
      <c r="K145">
        <f>INDEX(RateTables!$B$19:$C$28,MATCH(Policies!D145,RateTables!$A$19:$A$28,0),IF(Policies!C145="Frame",1,2))</f>
        <v/>
      </c>
      <c r="L145">
        <f>VLOOKUP(B145,AgeBands,2,TRUE)</f>
        <v/>
      </c>
      <c r="M145">
        <f>VLOOKUP(C145,RoofBands,2,TRUE)</f>
        <v/>
      </c>
      <c r="N145">
        <f>VLOOKUP(Policies!G145,AOIBands,2,TRUE)</f>
        <v/>
      </c>
      <c r="O145">
        <f>VLOOKUP(Policies!H145,RateTables!$A$31:$B$35,2,TRUE)</f>
        <v/>
      </c>
      <c r="P145">
        <f>VLOOKUP(MIN(Policies!L145,3),ClaimsTable,2,FALSE)</f>
        <v/>
      </c>
      <c r="Q145">
        <f>ROUND(H145*I145*K145*L145*M145*N145*O145*P145,2)</f>
        <v/>
      </c>
      <c r="R145">
        <f>IF(Policies!J145="Y",1,0)</f>
        <v/>
      </c>
      <c r="S145">
        <f>IF(AND(Policies!L145=0,B145&gt;=3),1,0)</f>
        <v/>
      </c>
      <c r="T145">
        <f>IF(B145&lt;=5,1,0)</f>
        <v/>
      </c>
      <c r="U145">
        <f>IF(Policies!K145="Basic",1,0)</f>
        <v/>
      </c>
      <c r="V145">
        <f>IF(Policies!K145="Fortified",1,0)</f>
        <v/>
      </c>
      <c r="W145">
        <f>SUMPRODUCT(R145:V145,CreditPcts)</f>
        <v/>
      </c>
      <c r="X145">
        <f>MIN(W145,CreditCap)</f>
        <v/>
      </c>
      <c r="Y145">
        <f>ROUND(Q145*(1-X145),2)</f>
        <v/>
      </c>
      <c r="Z145">
        <f>IF(Policies!I145="",0.02,Policies!I145)</f>
        <v/>
      </c>
      <c r="AA145">
        <f>IFERROR(VLOOKUP(Z145,HurrDedTable,2,FALSE),1)</f>
        <v/>
      </c>
      <c r="AB145">
        <f>IFERROR(INDEX(RateTables!$L$31:$L$33,MATCH(Policies!K145,RateTables!$K$31:$K$33,0)),1)</f>
        <v/>
      </c>
      <c r="AC145">
        <f>ROUND(F145*D145*J145*AA145*AB145,2)</f>
        <v/>
      </c>
      <c r="AD145">
        <f>MIN(AC145,Policies!G145*HurrCapPct)</f>
        <v/>
      </c>
      <c r="AE145">
        <f>Y145+AD145</f>
        <v/>
      </c>
      <c r="AF145" s="1">
        <f>EDATE(Policies!M145,Policies!N145)</f>
        <v/>
      </c>
      <c r="AG145">
        <f>ROUND(YEARFRAC(Policies!M145,AF145,3),4)</f>
        <v/>
      </c>
      <c r="AH145">
        <f>ROUND(AE145*AG145,2)</f>
        <v/>
      </c>
      <c r="AI145">
        <f>MAX(AH145,MinPremium)</f>
        <v/>
      </c>
      <c r="AJ145">
        <f>ROUNDUP(AI145,0)</f>
        <v/>
      </c>
      <c r="AK145">
        <f>VLOOKUP(Policies!N145,FeeTable,2,FALSE)</f>
        <v/>
      </c>
      <c r="AL145">
        <f>ROUND(AJ145*AssessRate,2)</f>
        <v/>
      </c>
      <c r="AM145">
        <f>ROUND((AJ145+AK145)*G145,2)</f>
        <v/>
      </c>
      <c r="AN145">
        <f>AJ145+AK145+AL145+AM145</f>
        <v/>
      </c>
      <c r="AO145">
        <f>IF(OR(Policies!G145&gt;1000000,C145&gt;20,Policies!L145&gt;=3),"REFER","OK")</f>
        <v/>
      </c>
      <c r="AP145">
        <f>ROUND(AH145/D145,3)</f>
        <v/>
      </c>
      <c r="AQ145">
        <f>Policies!B145&amp;"-"&amp;LEFT(Policies!C145,1)&amp;TEXT(Policies!D145,"00")</f>
        <v/>
      </c>
    </row>
    <row r="146">
      <c r="A146">
        <f>Policies!A146</f>
        <v/>
      </c>
      <c r="B146">
        <f>IFERROR(DATEDIF(DATE(Policies!E146,1,1),Policies!M146,"y"),0)</f>
        <v/>
      </c>
      <c r="C146">
        <f>Policies!F146*1</f>
        <v/>
      </c>
      <c r="D146">
        <f>Policies!G146/1000</f>
        <v/>
      </c>
      <c r="E146">
        <f>VLOOKUP(Policies!B146,BaseRates,2,FALSE)</f>
        <v/>
      </c>
      <c r="F146">
        <f>VLOOKUP(Policies!B146,BaseRates,3,FALSE)</f>
        <v/>
      </c>
      <c r="G146">
        <f>VLOOKUP(Policies!B146,BaseRates,4,FALSE)</f>
        <v/>
      </c>
      <c r="H146">
        <f>ROUND(E146*D146,2)</f>
        <v/>
      </c>
      <c r="I146">
        <f>INDEX(RateTables!$B$13:$B$16,MATCH(Policies!C146,RateTables!$A$13:$A$16,0))</f>
        <v/>
      </c>
      <c r="J146">
        <f>INDEX(RateTables!$C$13:$C$16,MATCH(Policies!C146,RateTables!$A$13:$A$16,0))</f>
        <v/>
      </c>
      <c r="K146">
        <f>INDEX(RateTables!$B$19:$C$28,MATCH(Policies!D146,RateTables!$A$19:$A$28,0),IF(Policies!C146="Frame",1,2))</f>
        <v/>
      </c>
      <c r="L146">
        <f>VLOOKUP(B146,AgeBands,2,TRUE)</f>
        <v/>
      </c>
      <c r="M146">
        <f>VLOOKUP(C146,RoofBands,2,TRUE)</f>
        <v/>
      </c>
      <c r="N146">
        <f>VLOOKUP(Policies!G146,AOIBands,2,TRUE)</f>
        <v/>
      </c>
      <c r="O146">
        <f>VLOOKUP(Policies!H146,RateTables!$A$31:$B$35,2,TRUE)</f>
        <v/>
      </c>
      <c r="P146">
        <f>VLOOKUP(MIN(Policies!L146,3),ClaimsTable,2,FALSE)</f>
        <v/>
      </c>
      <c r="Q146">
        <f>ROUND(H146*I146*K146*L146*M146*N146*O146*P146,2)</f>
        <v/>
      </c>
      <c r="R146">
        <f>IF(Policies!J146="Y",1,0)</f>
        <v/>
      </c>
      <c r="S146">
        <f>IF(AND(Policies!L146=0,B146&gt;=3),1,0)</f>
        <v/>
      </c>
      <c r="T146">
        <f>IF(B146&lt;=5,1,0)</f>
        <v/>
      </c>
      <c r="U146">
        <f>IF(Policies!K146="Basic",1,0)</f>
        <v/>
      </c>
      <c r="V146">
        <f>IF(Policies!K146="Fortified",1,0)</f>
        <v/>
      </c>
      <c r="W146">
        <f>SUMPRODUCT(R146:V146,CreditPcts)</f>
        <v/>
      </c>
      <c r="X146">
        <f>MIN(W146,CreditCap)</f>
        <v/>
      </c>
      <c r="Y146">
        <f>ROUND(Q146*(1-X146),2)</f>
        <v/>
      </c>
      <c r="Z146">
        <f>IF(Policies!I146="",0.02,Policies!I146)</f>
        <v/>
      </c>
      <c r="AA146">
        <f>IFERROR(VLOOKUP(Z146,HurrDedTable,2,FALSE),1)</f>
        <v/>
      </c>
      <c r="AB146">
        <f>IFERROR(INDEX(RateTables!$L$31:$L$33,MATCH(Policies!K146,RateTables!$K$31:$K$33,0)),1)</f>
        <v/>
      </c>
      <c r="AC146">
        <f>ROUND(F146*D146*J146*AA146*AB146,2)</f>
        <v/>
      </c>
      <c r="AD146">
        <f>MIN(AC146,Policies!G146*HurrCapPct)</f>
        <v/>
      </c>
      <c r="AE146">
        <f>Y146+AD146</f>
        <v/>
      </c>
      <c r="AF146" s="1">
        <f>EDATE(Policies!M146,Policies!N146)</f>
        <v/>
      </c>
      <c r="AG146">
        <f>ROUND(YEARFRAC(Policies!M146,AF146,3),4)</f>
        <v/>
      </c>
      <c r="AH146">
        <f>ROUND(AE146*AG146,2)</f>
        <v/>
      </c>
      <c r="AI146">
        <f>MAX(AH146,MinPremium)</f>
        <v/>
      </c>
      <c r="AJ146">
        <f>ROUNDUP(AI146,0)</f>
        <v/>
      </c>
      <c r="AK146">
        <f>VLOOKUP(Policies!N146,FeeTable,2,FALSE)</f>
        <v/>
      </c>
      <c r="AL146">
        <f>ROUND(AJ146*AssessRate,2)</f>
        <v/>
      </c>
      <c r="AM146">
        <f>ROUND((AJ146+AK146)*G146,2)</f>
        <v/>
      </c>
      <c r="AN146">
        <f>AJ146+AK146+AL146+AM146</f>
        <v/>
      </c>
      <c r="AO146">
        <f>IF(OR(Policies!G146&gt;1000000,C146&gt;20,Policies!L146&gt;=3),"REFER","OK")</f>
        <v/>
      </c>
      <c r="AP146">
        <f>ROUND(AH146/D146,3)</f>
        <v/>
      </c>
      <c r="AQ146">
        <f>Policies!B146&amp;"-"&amp;LEFT(Policies!C146,1)&amp;TEXT(Policies!D146,"00")</f>
        <v/>
      </c>
    </row>
    <row r="147">
      <c r="A147">
        <f>Policies!A147</f>
        <v/>
      </c>
      <c r="B147">
        <f>IFERROR(DATEDIF(DATE(Policies!E147,1,1),Policies!M147,"y"),0)</f>
        <v/>
      </c>
      <c r="C147">
        <f>Policies!F147*1</f>
        <v/>
      </c>
      <c r="D147">
        <f>Policies!G147/1000</f>
        <v/>
      </c>
      <c r="E147">
        <f>VLOOKUP(Policies!B147,BaseRates,2,FALSE)</f>
        <v/>
      </c>
      <c r="F147">
        <f>VLOOKUP(Policies!B147,BaseRates,3,FALSE)</f>
        <v/>
      </c>
      <c r="G147">
        <f>VLOOKUP(Policies!B147,BaseRates,4,FALSE)</f>
        <v/>
      </c>
      <c r="H147">
        <f>ROUND(E147*D147,2)</f>
        <v/>
      </c>
      <c r="I147">
        <f>INDEX(RateTables!$B$13:$B$16,MATCH(Policies!C147,RateTables!$A$13:$A$16,0))</f>
        <v/>
      </c>
      <c r="J147">
        <f>INDEX(RateTables!$C$13:$C$16,MATCH(Policies!C147,RateTables!$A$13:$A$16,0))</f>
        <v/>
      </c>
      <c r="K147">
        <f>INDEX(RateTables!$B$19:$C$28,MATCH(Policies!D147,RateTables!$A$19:$A$28,0),IF(Policies!C147="Frame",1,2))</f>
        <v/>
      </c>
      <c r="L147">
        <f>VLOOKUP(B147,AgeBands,2,TRUE)</f>
        <v/>
      </c>
      <c r="M147">
        <f>VLOOKUP(C147,RoofBands,2,TRUE)</f>
        <v/>
      </c>
      <c r="N147">
        <f>VLOOKUP(Policies!G147,AOIBands,2,TRUE)</f>
        <v/>
      </c>
      <c r="O147">
        <f>VLOOKUP(Policies!H147,RateTables!$A$31:$B$35,2,TRUE)</f>
        <v/>
      </c>
      <c r="P147">
        <f>VLOOKUP(MIN(Policies!L147,3),ClaimsTable,2,FALSE)</f>
        <v/>
      </c>
      <c r="Q147">
        <f>ROUND(H147*I147*K147*L147*M147*N147*O147*P147,2)</f>
        <v/>
      </c>
      <c r="R147">
        <f>IF(Policies!J147="Y",1,0)</f>
        <v/>
      </c>
      <c r="S147">
        <f>IF(AND(Policies!L147=0,B147&gt;=3),1,0)</f>
        <v/>
      </c>
      <c r="T147">
        <f>IF(B147&lt;=5,1,0)</f>
        <v/>
      </c>
      <c r="U147">
        <f>IF(Policies!K147="Basic",1,0)</f>
        <v/>
      </c>
      <c r="V147">
        <f>IF(Policies!K147="Fortified",1,0)</f>
        <v/>
      </c>
      <c r="W147">
        <f>SUMPRODUCT(R147:V147,CreditPcts)</f>
        <v/>
      </c>
      <c r="X147">
        <f>MIN(W147,CreditCap)</f>
        <v/>
      </c>
      <c r="Y147">
        <f>ROUND(Q147*(1-X147),2)</f>
        <v/>
      </c>
      <c r="Z147">
        <f>IF(Policies!I147="",0.02,Policies!I147)</f>
        <v/>
      </c>
      <c r="AA147">
        <f>IFERROR(VLOOKUP(Z147,HurrDedTable,2,FALSE),1)</f>
        <v/>
      </c>
      <c r="AB147">
        <f>IFERROR(INDEX(RateTables!$L$31:$L$33,MATCH(Policies!K147,RateTables!$K$31:$K$33,0)),1)</f>
        <v/>
      </c>
      <c r="AC147">
        <f>ROUND(F147*D147*J147*AA147*AB147,2)</f>
        <v/>
      </c>
      <c r="AD147">
        <f>MIN(AC147,Policies!G147*HurrCapPct)</f>
        <v/>
      </c>
      <c r="AE147">
        <f>Y147+AD147</f>
        <v/>
      </c>
      <c r="AF147" s="1">
        <f>EDATE(Policies!M147,Policies!N147)</f>
        <v/>
      </c>
      <c r="AG147">
        <f>ROUND(YEARFRAC(Policies!M147,AF147,3),4)</f>
        <v/>
      </c>
      <c r="AH147">
        <f>ROUND(AE147*AG147,2)</f>
        <v/>
      </c>
      <c r="AI147">
        <f>MAX(AH147,MinPremium)</f>
        <v/>
      </c>
      <c r="AJ147">
        <f>ROUNDUP(AI147,0)</f>
        <v/>
      </c>
      <c r="AK147">
        <f>VLOOKUP(Policies!N147,FeeTable,2,FALSE)</f>
        <v/>
      </c>
      <c r="AL147">
        <f>ROUND(AJ147*AssessRate,2)</f>
        <v/>
      </c>
      <c r="AM147">
        <f>ROUND((AJ147+AK147)*G147,2)</f>
        <v/>
      </c>
      <c r="AN147">
        <f>AJ147+AK147+AL147+AM147</f>
        <v/>
      </c>
      <c r="AO147">
        <f>IF(OR(Policies!G147&gt;1000000,C147&gt;20,Policies!L147&gt;=3),"REFER","OK")</f>
        <v/>
      </c>
      <c r="AP147">
        <f>ROUND(AH147/D147,3)</f>
        <v/>
      </c>
      <c r="AQ147">
        <f>Policies!B147&amp;"-"&amp;LEFT(Policies!C147,1)&amp;TEXT(Policies!D147,"00")</f>
        <v/>
      </c>
    </row>
    <row r="148">
      <c r="A148">
        <f>Policies!A148</f>
        <v/>
      </c>
      <c r="B148">
        <f>IFERROR(DATEDIF(DATE(Policies!E148,1,1),Policies!M148,"y"),0)</f>
        <v/>
      </c>
      <c r="C148">
        <f>Policies!F148*1</f>
        <v/>
      </c>
      <c r="D148">
        <f>Policies!G148/1000</f>
        <v/>
      </c>
      <c r="E148">
        <f>VLOOKUP(Policies!B148,BaseRates,2,FALSE)</f>
        <v/>
      </c>
      <c r="F148">
        <f>VLOOKUP(Policies!B148,BaseRates,3,FALSE)</f>
        <v/>
      </c>
      <c r="G148">
        <f>VLOOKUP(Policies!B148,BaseRates,4,FALSE)</f>
        <v/>
      </c>
      <c r="H148">
        <f>ROUND(E148*D148,2)</f>
        <v/>
      </c>
      <c r="I148">
        <f>INDEX(RateTables!$B$13:$B$16,MATCH(Policies!C148,RateTables!$A$13:$A$16,0))</f>
        <v/>
      </c>
      <c r="J148">
        <f>INDEX(RateTables!$C$13:$C$16,MATCH(Policies!C148,RateTables!$A$13:$A$16,0))</f>
        <v/>
      </c>
      <c r="K148">
        <f>INDEX(RateTables!$B$19:$C$28,MATCH(Policies!D148,RateTables!$A$19:$A$28,0),IF(Policies!C148="Frame",1,2))</f>
        <v/>
      </c>
      <c r="L148">
        <f>VLOOKUP(B148,AgeBands,2,TRUE)</f>
        <v/>
      </c>
      <c r="M148">
        <f>VLOOKUP(C148,RoofBands,2,TRUE)</f>
        <v/>
      </c>
      <c r="N148">
        <f>VLOOKUP(Policies!G148,AOIBands,2,TRUE)</f>
        <v/>
      </c>
      <c r="O148">
        <f>VLOOKUP(Policies!H148,RateTables!$A$31:$B$35,2,TRUE)</f>
        <v/>
      </c>
      <c r="P148">
        <f>VLOOKUP(MIN(Policies!L148,3),ClaimsTable,2,FALSE)</f>
        <v/>
      </c>
      <c r="Q148">
        <f>ROUND(H148*I148*K148*L148*M148*N148*O148*P148,2)</f>
        <v/>
      </c>
      <c r="R148">
        <f>IF(Policies!J148="Y",1,0)</f>
        <v/>
      </c>
      <c r="S148">
        <f>IF(AND(Policies!L148=0,B148&gt;=3),1,0)</f>
        <v/>
      </c>
      <c r="T148">
        <f>IF(B148&lt;=5,1,0)</f>
        <v/>
      </c>
      <c r="U148">
        <f>IF(Policies!K148="Basic",1,0)</f>
        <v/>
      </c>
      <c r="V148">
        <f>IF(Policies!K148="Fortified",1,0)</f>
        <v/>
      </c>
      <c r="W148">
        <f>SUMPRODUCT(R148:V148,CreditPcts)</f>
        <v/>
      </c>
      <c r="X148">
        <f>MIN(W148,CreditCap)</f>
        <v/>
      </c>
      <c r="Y148">
        <f>ROUND(Q148*(1-X148),2)</f>
        <v/>
      </c>
      <c r="Z148">
        <f>IF(Policies!I148="",0.02,Policies!I148)</f>
        <v/>
      </c>
      <c r="AA148">
        <f>IFERROR(VLOOKUP(Z148,HurrDedTable,2,FALSE),1)</f>
        <v/>
      </c>
      <c r="AB148">
        <f>IFERROR(INDEX(RateTables!$L$31:$L$33,MATCH(Policies!K148,RateTables!$K$31:$K$33,0)),1)</f>
        <v/>
      </c>
      <c r="AC148">
        <f>ROUND(F148*D148*J148*AA148*AB148,2)</f>
        <v/>
      </c>
      <c r="AD148">
        <f>MIN(AC148,Policies!G148*HurrCapPct)</f>
        <v/>
      </c>
      <c r="AE148">
        <f>Y148+AD148</f>
        <v/>
      </c>
      <c r="AF148" s="1">
        <f>EDATE(Policies!M148,Policies!N148)</f>
        <v/>
      </c>
      <c r="AG148">
        <f>ROUND(YEARFRAC(Policies!M148,AF148,3),4)</f>
        <v/>
      </c>
      <c r="AH148">
        <f>ROUND(AE148*AG148,2)</f>
        <v/>
      </c>
      <c r="AI148">
        <f>MAX(AH148,MinPremium)</f>
        <v/>
      </c>
      <c r="AJ148">
        <f>ROUNDUP(AI148,0)</f>
        <v/>
      </c>
      <c r="AK148">
        <f>VLOOKUP(Policies!N148,FeeTable,2,FALSE)</f>
        <v/>
      </c>
      <c r="AL148">
        <f>ROUND(AJ148*AssessRate,2)</f>
        <v/>
      </c>
      <c r="AM148">
        <f>ROUND((AJ148+AK148)*G148,2)</f>
        <v/>
      </c>
      <c r="AN148">
        <f>AJ148+AK148+AL148+AM148</f>
        <v/>
      </c>
      <c r="AO148">
        <f>IF(OR(Policies!G148&gt;1000000,C148&gt;20,Policies!L148&gt;=3),"REFER","OK")</f>
        <v/>
      </c>
      <c r="AP148">
        <f>ROUND(AH148/D148,3)</f>
        <v/>
      </c>
      <c r="AQ148">
        <f>Policies!B148&amp;"-"&amp;LEFT(Policies!C148,1)&amp;TEXT(Policies!D148,"00")</f>
        <v/>
      </c>
    </row>
    <row r="149">
      <c r="A149">
        <f>Policies!A149</f>
        <v/>
      </c>
      <c r="B149">
        <f>IFERROR(DATEDIF(DATE(Policies!E149,1,1),Policies!M149,"y"),0)</f>
        <v/>
      </c>
      <c r="C149">
        <f>Policies!F149*1</f>
        <v/>
      </c>
      <c r="D149">
        <f>Policies!G149/1000</f>
        <v/>
      </c>
      <c r="E149">
        <f>VLOOKUP(Policies!B149,BaseRates,2,FALSE)</f>
        <v/>
      </c>
      <c r="F149">
        <f>VLOOKUP(Policies!B149,BaseRates,3,FALSE)</f>
        <v/>
      </c>
      <c r="G149">
        <f>VLOOKUP(Policies!B149,BaseRates,4,FALSE)</f>
        <v/>
      </c>
      <c r="H149">
        <f>ROUND(E149*D149,2)</f>
        <v/>
      </c>
      <c r="I149">
        <f>INDEX(RateTables!$B$13:$B$16,MATCH(Policies!C149,RateTables!$A$13:$A$16,0))</f>
        <v/>
      </c>
      <c r="J149">
        <f>INDEX(RateTables!$C$13:$C$16,MATCH(Policies!C149,RateTables!$A$13:$A$16,0))</f>
        <v/>
      </c>
      <c r="K149">
        <f>INDEX(RateTables!$B$19:$C$28,MATCH(Policies!D149,RateTables!$A$19:$A$28,0),IF(Policies!C149="Frame",1,2))</f>
        <v/>
      </c>
      <c r="L149">
        <f>VLOOKUP(B149,AgeBands,2,TRUE)</f>
        <v/>
      </c>
      <c r="M149">
        <f>VLOOKUP(C149,RoofBands,2,TRUE)</f>
        <v/>
      </c>
      <c r="N149">
        <f>VLOOKUP(Policies!G149,AOIBands,2,TRUE)</f>
        <v/>
      </c>
      <c r="O149">
        <f>VLOOKUP(Policies!H149,RateTables!$A$31:$B$35,2,TRUE)</f>
        <v/>
      </c>
      <c r="P149">
        <f>VLOOKUP(MIN(Policies!L149,3),ClaimsTable,2,FALSE)</f>
        <v/>
      </c>
      <c r="Q149">
        <f>ROUND(H149*I149*K149*L149*M149*N149*O149*P149,2)</f>
        <v/>
      </c>
      <c r="R149">
        <f>IF(Policies!J149="Y",1,0)</f>
        <v/>
      </c>
      <c r="S149">
        <f>IF(AND(Policies!L149=0,B149&gt;=3),1,0)</f>
        <v/>
      </c>
      <c r="T149">
        <f>IF(B149&lt;=5,1,0)</f>
        <v/>
      </c>
      <c r="U149">
        <f>IF(Policies!K149="Basic",1,0)</f>
        <v/>
      </c>
      <c r="V149">
        <f>IF(Policies!K149="Fortified",1,0)</f>
        <v/>
      </c>
      <c r="W149">
        <f>SUMPRODUCT(R149:V149,CreditPcts)</f>
        <v/>
      </c>
      <c r="X149">
        <f>MIN(W149,CreditCap)</f>
        <v/>
      </c>
      <c r="Y149">
        <f>ROUND(Q149*(1-X149),2)</f>
        <v/>
      </c>
      <c r="Z149">
        <f>IF(Policies!I149="",0.02,Policies!I149)</f>
        <v/>
      </c>
      <c r="AA149">
        <f>IFERROR(VLOOKUP(Z149,HurrDedTable,2,FALSE),1)</f>
        <v/>
      </c>
      <c r="AB149">
        <f>IFERROR(INDEX(RateTables!$L$31:$L$33,MATCH(Policies!K149,RateTables!$K$31:$K$33,0)),1)</f>
        <v/>
      </c>
      <c r="AC149">
        <f>ROUND(F149*D149*J149*AA149*AB149,2)</f>
        <v/>
      </c>
      <c r="AD149">
        <f>MIN(AC149,Policies!G149*HurrCapPct)</f>
        <v/>
      </c>
      <c r="AE149">
        <f>Y149+AD149</f>
        <v/>
      </c>
      <c r="AF149" s="1">
        <f>EDATE(Policies!M149,Policies!N149)</f>
        <v/>
      </c>
      <c r="AG149">
        <f>ROUND(YEARFRAC(Policies!M149,AF149,3),4)</f>
        <v/>
      </c>
      <c r="AH149">
        <f>ROUND(AE149*AG149,2)</f>
        <v/>
      </c>
      <c r="AI149">
        <f>MAX(AH149,MinPremium)</f>
        <v/>
      </c>
      <c r="AJ149">
        <f>ROUNDUP(AI149,0)</f>
        <v/>
      </c>
      <c r="AK149">
        <f>VLOOKUP(Policies!N149,FeeTable,2,FALSE)</f>
        <v/>
      </c>
      <c r="AL149">
        <f>ROUND(AJ149*AssessRate,2)</f>
        <v/>
      </c>
      <c r="AM149">
        <f>ROUND((AJ149+AK149)*G149,2)</f>
        <v/>
      </c>
      <c r="AN149">
        <f>AJ149+AK149+AL149+AM149</f>
        <v/>
      </c>
      <c r="AO149">
        <f>IF(OR(Policies!G149&gt;1000000,C149&gt;20,Policies!L149&gt;=3),"REFER","OK")</f>
        <v/>
      </c>
      <c r="AP149">
        <f>ROUND(AH149/D149,3)</f>
        <v/>
      </c>
      <c r="AQ149">
        <f>Policies!B149&amp;"-"&amp;LEFT(Policies!C149,1)&amp;TEXT(Policies!D149,"00")</f>
        <v/>
      </c>
    </row>
    <row r="150">
      <c r="A150">
        <f>Policies!A150</f>
        <v/>
      </c>
      <c r="B150">
        <f>IFERROR(DATEDIF(DATE(Policies!E150,1,1),Policies!M150,"y"),0)</f>
        <v/>
      </c>
      <c r="C150">
        <f>Policies!F150*1</f>
        <v/>
      </c>
      <c r="D150">
        <f>Policies!G150/1000</f>
        <v/>
      </c>
      <c r="E150">
        <f>VLOOKUP(Policies!B150,BaseRates,2,FALSE)</f>
        <v/>
      </c>
      <c r="F150">
        <f>VLOOKUP(Policies!B150,BaseRates,3,FALSE)</f>
        <v/>
      </c>
      <c r="G150">
        <f>VLOOKUP(Policies!B150,BaseRates,4,FALSE)</f>
        <v/>
      </c>
      <c r="H150">
        <f>ROUND(E150*D150,2)</f>
        <v/>
      </c>
      <c r="I150">
        <f>INDEX(RateTables!$B$13:$B$16,MATCH(Policies!C150,RateTables!$A$13:$A$16,0))</f>
        <v/>
      </c>
      <c r="J150">
        <f>INDEX(RateTables!$C$13:$C$16,MATCH(Policies!C150,RateTables!$A$13:$A$16,0))</f>
        <v/>
      </c>
      <c r="K150">
        <f>INDEX(RateTables!$B$19:$C$28,MATCH(Policies!D150,RateTables!$A$19:$A$28,0),IF(Policies!C150="Frame",1,2))</f>
        <v/>
      </c>
      <c r="L150">
        <f>VLOOKUP(B150,AgeBands,2,TRUE)</f>
        <v/>
      </c>
      <c r="M150">
        <f>VLOOKUP(C150,RoofBands,2,TRUE)</f>
        <v/>
      </c>
      <c r="N150">
        <f>VLOOKUP(Policies!G150,AOIBands,2,TRUE)</f>
        <v/>
      </c>
      <c r="O150">
        <f>VLOOKUP(Policies!H150,RateTables!$A$31:$B$35,2,TRUE)</f>
        <v/>
      </c>
      <c r="P150">
        <f>VLOOKUP(MIN(Policies!L150,3),ClaimsTable,2,FALSE)</f>
        <v/>
      </c>
      <c r="Q150">
        <f>ROUND(H150*I150*K150*L150*M150*N150*O150*P150,2)</f>
        <v/>
      </c>
      <c r="R150">
        <f>IF(Policies!J150="Y",1,0)</f>
        <v/>
      </c>
      <c r="S150">
        <f>IF(AND(Policies!L150=0,B150&gt;=3),1,0)</f>
        <v/>
      </c>
      <c r="T150">
        <f>IF(B150&lt;=5,1,0)</f>
        <v/>
      </c>
      <c r="U150">
        <f>IF(Policies!K150="Basic",1,0)</f>
        <v/>
      </c>
      <c r="V150">
        <f>IF(Policies!K150="Fortified",1,0)</f>
        <v/>
      </c>
      <c r="W150">
        <f>SUMPRODUCT(R150:V150,CreditPcts)</f>
        <v/>
      </c>
      <c r="X150">
        <f>MIN(W150,CreditCap)</f>
        <v/>
      </c>
      <c r="Y150">
        <f>ROUND(Q150*(1-X150),2)</f>
        <v/>
      </c>
      <c r="Z150">
        <f>IF(Policies!I150="",0.02,Policies!I150)</f>
        <v/>
      </c>
      <c r="AA150">
        <f>IFERROR(VLOOKUP(Z150,HurrDedTable,2,FALSE),1)</f>
        <v/>
      </c>
      <c r="AB150">
        <f>IFERROR(INDEX(RateTables!$L$31:$L$33,MATCH(Policies!K150,RateTables!$K$31:$K$33,0)),1)</f>
        <v/>
      </c>
      <c r="AC150">
        <f>ROUND(F150*D150*J150*AA150*AB150,2)</f>
        <v/>
      </c>
      <c r="AD150">
        <f>MIN(AC150,Policies!G150*HurrCapPct)</f>
        <v/>
      </c>
      <c r="AE150">
        <f>Y150+AD150</f>
        <v/>
      </c>
      <c r="AF150" s="1">
        <f>EDATE(Policies!M150,Policies!N150)</f>
        <v/>
      </c>
      <c r="AG150">
        <f>ROUND(YEARFRAC(Policies!M150,AF150,3),4)</f>
        <v/>
      </c>
      <c r="AH150">
        <f>ROUND(AE150*AG150,2)</f>
        <v/>
      </c>
      <c r="AI150">
        <f>MAX(AH150,MinPremium)</f>
        <v/>
      </c>
      <c r="AJ150">
        <f>ROUNDUP(AI150,0)</f>
        <v/>
      </c>
      <c r="AK150">
        <f>VLOOKUP(Policies!N150,FeeTable,2,FALSE)</f>
        <v/>
      </c>
      <c r="AL150">
        <f>ROUND(AJ150*AssessRate,2)</f>
        <v/>
      </c>
      <c r="AM150">
        <f>ROUND((AJ150+AK150)*G150,2)</f>
        <v/>
      </c>
      <c r="AN150">
        <f>AJ150+AK150+AL150+AM150</f>
        <v/>
      </c>
      <c r="AO150">
        <f>IF(OR(Policies!G150&gt;1000000,C150&gt;20,Policies!L150&gt;=3),"REFER","OK")</f>
        <v/>
      </c>
      <c r="AP150">
        <f>ROUND(AH150/D150,3)</f>
        <v/>
      </c>
      <c r="AQ150">
        <f>Policies!B150&amp;"-"&amp;LEFT(Policies!C150,1)&amp;TEXT(Policies!D150,"00")</f>
        <v/>
      </c>
    </row>
    <row r="151">
      <c r="A151">
        <f>Policies!A151</f>
        <v/>
      </c>
      <c r="B151">
        <f>IFERROR(DATEDIF(DATE(Policies!E151,1,1),Policies!M151,"y"),0)</f>
        <v/>
      </c>
      <c r="C151">
        <f>Policies!F151*1</f>
        <v/>
      </c>
      <c r="D151">
        <f>Policies!G151/1000</f>
        <v/>
      </c>
      <c r="E151">
        <f>VLOOKUP(Policies!B151,BaseRates,2,FALSE)</f>
        <v/>
      </c>
      <c r="F151">
        <f>VLOOKUP(Policies!B151,BaseRates,3,FALSE)</f>
        <v/>
      </c>
      <c r="G151">
        <f>VLOOKUP(Policies!B151,BaseRates,4,FALSE)</f>
        <v/>
      </c>
      <c r="H151">
        <f>ROUND(E151*D151,2)</f>
        <v/>
      </c>
      <c r="I151">
        <f>INDEX(RateTables!$B$13:$B$16,MATCH(Policies!C151,RateTables!$A$13:$A$16,0))</f>
        <v/>
      </c>
      <c r="J151">
        <f>INDEX(RateTables!$C$13:$C$16,MATCH(Policies!C151,RateTables!$A$13:$A$16,0))</f>
        <v/>
      </c>
      <c r="K151">
        <f>INDEX(RateTables!$B$19:$C$28,MATCH(Policies!D151,RateTables!$A$19:$A$28,0),IF(Policies!C151="Frame",1,2))</f>
        <v/>
      </c>
      <c r="L151">
        <f>VLOOKUP(B151,AgeBands,2,TRUE)</f>
        <v/>
      </c>
      <c r="M151">
        <f>VLOOKUP(C151,RoofBands,2,TRUE)</f>
        <v/>
      </c>
      <c r="N151">
        <f>VLOOKUP(Policies!G151,AOIBands,2,TRUE)</f>
        <v/>
      </c>
      <c r="O151">
        <f>VLOOKUP(Policies!H151,RateTables!$A$31:$B$35,2,TRUE)</f>
        <v/>
      </c>
      <c r="P151">
        <f>VLOOKUP(MIN(Policies!L151,3),ClaimsTable,2,FALSE)</f>
        <v/>
      </c>
      <c r="Q151">
        <f>ROUND(H151*I151*K151*L151*M151*N151*O151*P151,2)</f>
        <v/>
      </c>
      <c r="R151">
        <f>IF(Policies!J151="Y",1,0)</f>
        <v/>
      </c>
      <c r="S151">
        <f>IF(AND(Policies!L151=0,B151&gt;=3),1,0)</f>
        <v/>
      </c>
      <c r="T151">
        <f>IF(B151&lt;=5,1,0)</f>
        <v/>
      </c>
      <c r="U151">
        <f>IF(Policies!K151="Basic",1,0)</f>
        <v/>
      </c>
      <c r="V151">
        <f>IF(Policies!K151="Fortified",1,0)</f>
        <v/>
      </c>
      <c r="W151">
        <f>SUMPRODUCT(R151:V151,CreditPcts)</f>
        <v/>
      </c>
      <c r="X151">
        <f>MIN(W151,CreditCap)</f>
        <v/>
      </c>
      <c r="Y151">
        <f>ROUND(Q151*(1-X151),2)</f>
        <v/>
      </c>
      <c r="Z151">
        <f>IF(Policies!I151="",0.02,Policies!I151)</f>
        <v/>
      </c>
      <c r="AA151">
        <f>IFERROR(VLOOKUP(Z151,HurrDedTable,2,FALSE),1)</f>
        <v/>
      </c>
      <c r="AB151">
        <f>IFERROR(INDEX(RateTables!$L$31:$L$33,MATCH(Policies!K151,RateTables!$K$31:$K$33,0)),1)</f>
        <v/>
      </c>
      <c r="AC151">
        <f>ROUND(F151*D151*J151*AA151*AB151,2)</f>
        <v/>
      </c>
      <c r="AD151">
        <f>MIN(AC151,Policies!G151*HurrCapPct)</f>
        <v/>
      </c>
      <c r="AE151">
        <f>Y151+AD151</f>
        <v/>
      </c>
      <c r="AF151" s="1">
        <f>EDATE(Policies!M151,Policies!N151)</f>
        <v/>
      </c>
      <c r="AG151">
        <f>ROUND(YEARFRAC(Policies!M151,AF151,3),4)</f>
        <v/>
      </c>
      <c r="AH151">
        <f>ROUND(AE151*AG151,2)</f>
        <v/>
      </c>
      <c r="AI151">
        <f>MAX(AH151,MinPremium)</f>
        <v/>
      </c>
      <c r="AJ151">
        <f>ROUNDUP(AI151,0)</f>
        <v/>
      </c>
      <c r="AK151">
        <f>VLOOKUP(Policies!N151,FeeTable,2,FALSE)</f>
        <v/>
      </c>
      <c r="AL151">
        <f>ROUND(AJ151*AssessRate,2)</f>
        <v/>
      </c>
      <c r="AM151">
        <f>ROUND((AJ151+AK151)*G151,2)</f>
        <v/>
      </c>
      <c r="AN151">
        <f>AJ151+AK151+AL151+AM151</f>
        <v/>
      </c>
      <c r="AO151">
        <f>IF(OR(Policies!G151&gt;1000000,C151&gt;20,Policies!L151&gt;=3),"REFER","OK")</f>
        <v/>
      </c>
      <c r="AP151">
        <f>ROUND(AH151/D151,3)</f>
        <v/>
      </c>
      <c r="AQ151">
        <f>Policies!B151&amp;"-"&amp;LEFT(Policies!C151,1)&amp;TEXT(Policies!D151,"00")</f>
        <v/>
      </c>
    </row>
    <row r="152">
      <c r="A152">
        <f>Policies!A152</f>
        <v/>
      </c>
      <c r="B152">
        <f>IFERROR(DATEDIF(DATE(Policies!E152,1,1),Policies!M152,"y"),0)</f>
        <v/>
      </c>
      <c r="C152">
        <f>Policies!F152*1</f>
        <v/>
      </c>
      <c r="D152">
        <f>Policies!G152/1000</f>
        <v/>
      </c>
      <c r="E152">
        <f>VLOOKUP(Policies!B152,BaseRates,2,FALSE)</f>
        <v/>
      </c>
      <c r="F152">
        <f>VLOOKUP(Policies!B152,BaseRates,3,FALSE)</f>
        <v/>
      </c>
      <c r="G152">
        <f>VLOOKUP(Policies!B152,BaseRates,4,FALSE)</f>
        <v/>
      </c>
      <c r="H152">
        <f>ROUND(E152*D152,2)</f>
        <v/>
      </c>
      <c r="I152">
        <f>INDEX(RateTables!$B$13:$B$16,MATCH(Policies!C152,RateTables!$A$13:$A$16,0))</f>
        <v/>
      </c>
      <c r="J152">
        <f>INDEX(RateTables!$C$13:$C$16,MATCH(Policies!C152,RateTables!$A$13:$A$16,0))</f>
        <v/>
      </c>
      <c r="K152">
        <f>INDEX(RateTables!$B$19:$C$28,MATCH(Policies!D152,RateTables!$A$19:$A$28,0),IF(Policies!C152="Frame",1,2))</f>
        <v/>
      </c>
      <c r="L152">
        <f>VLOOKUP(B152,AgeBands,2,TRUE)</f>
        <v/>
      </c>
      <c r="M152">
        <f>VLOOKUP(C152,RoofBands,2,TRUE)</f>
        <v/>
      </c>
      <c r="N152">
        <f>VLOOKUP(Policies!G152,AOIBands,2,TRUE)</f>
        <v/>
      </c>
      <c r="O152">
        <f>VLOOKUP(Policies!H152,RateTables!$A$31:$B$35,2,TRUE)</f>
        <v/>
      </c>
      <c r="P152">
        <f>VLOOKUP(MIN(Policies!L152,3),ClaimsTable,2,FALSE)</f>
        <v/>
      </c>
      <c r="Q152">
        <f>ROUND(H152*I152*K152*L152*M152*N152*O152*P152,2)</f>
        <v/>
      </c>
      <c r="R152">
        <f>IF(Policies!J152="Y",1,0)</f>
        <v/>
      </c>
      <c r="S152">
        <f>IF(AND(Policies!L152=0,B152&gt;=3),1,0)</f>
        <v/>
      </c>
      <c r="T152">
        <f>IF(B152&lt;=5,1,0)</f>
        <v/>
      </c>
      <c r="U152">
        <f>IF(Policies!K152="Basic",1,0)</f>
        <v/>
      </c>
      <c r="V152">
        <f>IF(Policies!K152="Fortified",1,0)</f>
        <v/>
      </c>
      <c r="W152">
        <f>SUMPRODUCT(R152:V152,CreditPcts)</f>
        <v/>
      </c>
      <c r="X152">
        <f>MIN(W152,CreditCap)</f>
        <v/>
      </c>
      <c r="Y152">
        <f>ROUND(Q152*(1-X152),2)</f>
        <v/>
      </c>
      <c r="Z152">
        <f>IF(Policies!I152="",0.02,Policies!I152)</f>
        <v/>
      </c>
      <c r="AA152">
        <f>IFERROR(VLOOKUP(Z152,HurrDedTable,2,FALSE),1)</f>
        <v/>
      </c>
      <c r="AB152">
        <f>IFERROR(INDEX(RateTables!$L$31:$L$33,MATCH(Policies!K152,RateTables!$K$31:$K$33,0)),1)</f>
        <v/>
      </c>
      <c r="AC152">
        <f>ROUND(F152*D152*J152*AA152*AB152,2)</f>
        <v/>
      </c>
      <c r="AD152">
        <f>MIN(AC152,Policies!G152*HurrCapPct)</f>
        <v/>
      </c>
      <c r="AE152">
        <f>Y152+AD152</f>
        <v/>
      </c>
      <c r="AF152" s="1">
        <f>EDATE(Policies!M152,Policies!N152)</f>
        <v/>
      </c>
      <c r="AG152">
        <f>ROUND(YEARFRAC(Policies!M152,AF152,3),4)</f>
        <v/>
      </c>
      <c r="AH152">
        <f>ROUND(AE152*AG152,2)</f>
        <v/>
      </c>
      <c r="AI152">
        <f>MAX(AH152,MinPremium)</f>
        <v/>
      </c>
      <c r="AJ152">
        <f>ROUNDUP(AI152,0)</f>
        <v/>
      </c>
      <c r="AK152">
        <f>VLOOKUP(Policies!N152,FeeTable,2,FALSE)</f>
        <v/>
      </c>
      <c r="AL152">
        <f>ROUND(AJ152*AssessRate,2)</f>
        <v/>
      </c>
      <c r="AM152">
        <f>ROUND((AJ152+AK152)*G152,2)</f>
        <v/>
      </c>
      <c r="AN152">
        <f>AJ152+AK152+AL152+AM152</f>
        <v/>
      </c>
      <c r="AO152">
        <f>IF(OR(Policies!G152&gt;1000000,C152&gt;20,Policies!L152&gt;=3),"REFER","OK")</f>
        <v/>
      </c>
      <c r="AP152">
        <f>ROUND(AH152/D152,3)</f>
        <v/>
      </c>
      <c r="AQ152">
        <f>Policies!B152&amp;"-"&amp;LEFT(Policies!C152,1)&amp;TEXT(Policies!D152,"00")</f>
        <v/>
      </c>
    </row>
    <row r="153">
      <c r="A153">
        <f>Policies!A153</f>
        <v/>
      </c>
      <c r="B153">
        <f>IFERROR(DATEDIF(DATE(Policies!E153,1,1),Policies!M153,"y"),0)</f>
        <v/>
      </c>
      <c r="C153">
        <f>Policies!F153*1</f>
        <v/>
      </c>
      <c r="D153">
        <f>Policies!G153/1000</f>
        <v/>
      </c>
      <c r="E153">
        <f>VLOOKUP(Policies!B153,BaseRates,2,FALSE)</f>
        <v/>
      </c>
      <c r="F153">
        <f>VLOOKUP(Policies!B153,BaseRates,3,FALSE)</f>
        <v/>
      </c>
      <c r="G153">
        <f>VLOOKUP(Policies!B153,BaseRates,4,FALSE)</f>
        <v/>
      </c>
      <c r="H153">
        <f>ROUND(E153*D153,2)</f>
        <v/>
      </c>
      <c r="I153">
        <f>INDEX(RateTables!$B$13:$B$16,MATCH(Policies!C153,RateTables!$A$13:$A$16,0))</f>
        <v/>
      </c>
      <c r="J153">
        <f>INDEX(RateTables!$C$13:$C$16,MATCH(Policies!C153,RateTables!$A$13:$A$16,0))</f>
        <v/>
      </c>
      <c r="K153">
        <f>INDEX(RateTables!$B$19:$C$28,MATCH(Policies!D153,RateTables!$A$19:$A$28,0),IF(Policies!C153="Frame",1,2))</f>
        <v/>
      </c>
      <c r="L153">
        <f>VLOOKUP(B153,AgeBands,2,TRUE)</f>
        <v/>
      </c>
      <c r="M153">
        <f>VLOOKUP(C153,RoofBands,2,TRUE)</f>
        <v/>
      </c>
      <c r="N153">
        <f>VLOOKUP(Policies!G153,AOIBands,2,TRUE)</f>
        <v/>
      </c>
      <c r="O153">
        <f>VLOOKUP(Policies!H153,RateTables!$A$31:$B$35,2,TRUE)</f>
        <v/>
      </c>
      <c r="P153">
        <f>VLOOKUP(MIN(Policies!L153,3),ClaimsTable,2,FALSE)</f>
        <v/>
      </c>
      <c r="Q153">
        <f>ROUND(H153*I153*K153*L153*M153*N153*O153*P153,2)</f>
        <v/>
      </c>
      <c r="R153">
        <f>IF(Policies!J153="Y",1,0)</f>
        <v/>
      </c>
      <c r="S153">
        <f>IF(AND(Policies!L153=0,B153&gt;=3),1,0)</f>
        <v/>
      </c>
      <c r="T153">
        <f>IF(B153&lt;=5,1,0)</f>
        <v/>
      </c>
      <c r="U153">
        <f>IF(Policies!K153="Basic",1,0)</f>
        <v/>
      </c>
      <c r="V153">
        <f>IF(Policies!K153="Fortified",1,0)</f>
        <v/>
      </c>
      <c r="W153">
        <f>SUMPRODUCT(R153:V153,CreditPcts)</f>
        <v/>
      </c>
      <c r="X153">
        <f>MIN(W153,CreditCap)</f>
        <v/>
      </c>
      <c r="Y153">
        <f>ROUND(Q153*(1-X153),2)</f>
        <v/>
      </c>
      <c r="Z153">
        <f>IF(Policies!I153="",0.02,Policies!I153)</f>
        <v/>
      </c>
      <c r="AA153">
        <f>IFERROR(VLOOKUP(Z153,HurrDedTable,2,FALSE),1)</f>
        <v/>
      </c>
      <c r="AB153">
        <f>IFERROR(INDEX(RateTables!$L$31:$L$33,MATCH(Policies!K153,RateTables!$K$31:$K$33,0)),1)</f>
        <v/>
      </c>
      <c r="AC153">
        <f>ROUND(F153*D153*J153*AA153*AB153,2)</f>
        <v/>
      </c>
      <c r="AD153">
        <f>MIN(AC153,Policies!G153*HurrCapPct)</f>
        <v/>
      </c>
      <c r="AE153">
        <f>Y153+AD153</f>
        <v/>
      </c>
      <c r="AF153" s="1">
        <f>EDATE(Policies!M153,Policies!N153)</f>
        <v/>
      </c>
      <c r="AG153">
        <f>ROUND(YEARFRAC(Policies!M153,AF153,3),4)</f>
        <v/>
      </c>
      <c r="AH153">
        <f>ROUND(AE153*AG153,2)</f>
        <v/>
      </c>
      <c r="AI153">
        <f>MAX(AH153,MinPremium)</f>
        <v/>
      </c>
      <c r="AJ153">
        <f>ROUNDUP(AI153,0)</f>
        <v/>
      </c>
      <c r="AK153">
        <f>VLOOKUP(Policies!N153,FeeTable,2,FALSE)</f>
        <v/>
      </c>
      <c r="AL153">
        <f>ROUND(AJ153*AssessRate,2)</f>
        <v/>
      </c>
      <c r="AM153">
        <f>ROUND((AJ153+AK153)*G153,2)</f>
        <v/>
      </c>
      <c r="AN153">
        <f>AJ153+AK153+AL153+AM153</f>
        <v/>
      </c>
      <c r="AO153">
        <f>IF(OR(Policies!G153&gt;1000000,C153&gt;20,Policies!L153&gt;=3),"REFER","OK")</f>
        <v/>
      </c>
      <c r="AP153">
        <f>ROUND(AH153/D153,3)</f>
        <v/>
      </c>
      <c r="AQ153">
        <f>Policies!B153&amp;"-"&amp;LEFT(Policies!C153,1)&amp;TEXT(Policies!D153,"00")</f>
        <v/>
      </c>
    </row>
    <row r="154">
      <c r="A154">
        <f>Policies!A154</f>
        <v/>
      </c>
      <c r="B154">
        <f>IFERROR(DATEDIF(DATE(Policies!E154,1,1),Policies!M154,"y"),0)</f>
        <v/>
      </c>
      <c r="C154">
        <f>Policies!F154*1</f>
        <v/>
      </c>
      <c r="D154">
        <f>Policies!G154/1000</f>
        <v/>
      </c>
      <c r="E154">
        <f>VLOOKUP(Policies!B154,BaseRates,2,FALSE)</f>
        <v/>
      </c>
      <c r="F154">
        <f>VLOOKUP(Policies!B154,BaseRates,3,FALSE)</f>
        <v/>
      </c>
      <c r="G154">
        <f>VLOOKUP(Policies!B154,BaseRates,4,FALSE)</f>
        <v/>
      </c>
      <c r="H154">
        <f>ROUND(E154*D154,2)</f>
        <v/>
      </c>
      <c r="I154">
        <f>INDEX(RateTables!$B$13:$B$16,MATCH(Policies!C154,RateTables!$A$13:$A$16,0))</f>
        <v/>
      </c>
      <c r="J154">
        <f>INDEX(RateTables!$C$13:$C$16,MATCH(Policies!C154,RateTables!$A$13:$A$16,0))</f>
        <v/>
      </c>
      <c r="K154">
        <f>INDEX(RateTables!$B$19:$C$28,MATCH(Policies!D154,RateTables!$A$19:$A$28,0),IF(Policies!C154="Frame",1,2))</f>
        <v/>
      </c>
      <c r="L154">
        <f>VLOOKUP(B154,AgeBands,2,TRUE)</f>
        <v/>
      </c>
      <c r="M154">
        <f>VLOOKUP(C154,RoofBands,2,TRUE)</f>
        <v/>
      </c>
      <c r="N154">
        <f>VLOOKUP(Policies!G154,AOIBands,2,TRUE)</f>
        <v/>
      </c>
      <c r="O154">
        <f>VLOOKUP(Policies!H154,RateTables!$A$31:$B$35,2,TRUE)</f>
        <v/>
      </c>
      <c r="P154">
        <f>VLOOKUP(MIN(Policies!L154,3),ClaimsTable,2,FALSE)</f>
        <v/>
      </c>
      <c r="Q154">
        <f>ROUND(H154*I154*K154*L154*M154*N154*O154*P154,2)</f>
        <v/>
      </c>
      <c r="R154">
        <f>IF(Policies!J154="Y",1,0)</f>
        <v/>
      </c>
      <c r="S154">
        <f>IF(AND(Policies!L154=0,B154&gt;=3),1,0)</f>
        <v/>
      </c>
      <c r="T154">
        <f>IF(B154&lt;=5,1,0)</f>
        <v/>
      </c>
      <c r="U154">
        <f>IF(Policies!K154="Basic",1,0)</f>
        <v/>
      </c>
      <c r="V154">
        <f>IF(Policies!K154="Fortified",1,0)</f>
        <v/>
      </c>
      <c r="W154">
        <f>SUMPRODUCT(R154:V154,CreditPcts)</f>
        <v/>
      </c>
      <c r="X154">
        <f>MIN(W154,CreditCap)</f>
        <v/>
      </c>
      <c r="Y154">
        <f>ROUND(Q154*(1-X154),2)</f>
        <v/>
      </c>
      <c r="Z154">
        <f>IF(Policies!I154="",0.02,Policies!I154)</f>
        <v/>
      </c>
      <c r="AA154">
        <f>IFERROR(VLOOKUP(Z154,HurrDedTable,2,FALSE),1)</f>
        <v/>
      </c>
      <c r="AB154">
        <f>IFERROR(INDEX(RateTables!$L$31:$L$33,MATCH(Policies!K154,RateTables!$K$31:$K$33,0)),1)</f>
        <v/>
      </c>
      <c r="AC154">
        <f>ROUND(F154*D154*J154*AA154*AB154,2)</f>
        <v/>
      </c>
      <c r="AD154">
        <f>MIN(AC154,Policies!G154*HurrCapPct)</f>
        <v/>
      </c>
      <c r="AE154">
        <f>Y154+AD154</f>
        <v/>
      </c>
      <c r="AF154" s="1">
        <f>EDATE(Policies!M154,Policies!N154)</f>
        <v/>
      </c>
      <c r="AG154">
        <f>ROUND(YEARFRAC(Policies!M154,AF154,3),4)</f>
        <v/>
      </c>
      <c r="AH154">
        <f>ROUND(AE154*AG154,2)</f>
        <v/>
      </c>
      <c r="AI154">
        <f>MAX(AH154,MinPremium)</f>
        <v/>
      </c>
      <c r="AJ154">
        <f>ROUNDUP(AI154,0)</f>
        <v/>
      </c>
      <c r="AK154">
        <f>VLOOKUP(Policies!N154,FeeTable,2,FALSE)</f>
        <v/>
      </c>
      <c r="AL154">
        <f>ROUND(AJ154*AssessRate,2)</f>
        <v/>
      </c>
      <c r="AM154">
        <f>ROUND((AJ154+AK154)*G154,2)</f>
        <v/>
      </c>
      <c r="AN154">
        <f>AJ154+AK154+AL154+AM154</f>
        <v/>
      </c>
      <c r="AO154">
        <f>IF(OR(Policies!G154&gt;1000000,C154&gt;20,Policies!L154&gt;=3),"REFER","OK")</f>
        <v/>
      </c>
      <c r="AP154">
        <f>ROUND(AH154/D154,3)</f>
        <v/>
      </c>
      <c r="AQ154">
        <f>Policies!B154&amp;"-"&amp;LEFT(Policies!C154,1)&amp;TEXT(Policies!D154,"00")</f>
        <v/>
      </c>
    </row>
    <row r="155">
      <c r="A155">
        <f>Policies!A155</f>
        <v/>
      </c>
      <c r="B155">
        <f>IFERROR(DATEDIF(DATE(Policies!E155,1,1),Policies!M155,"y"),0)</f>
        <v/>
      </c>
      <c r="C155">
        <f>Policies!F155*1</f>
        <v/>
      </c>
      <c r="D155">
        <f>Policies!G155/1000</f>
        <v/>
      </c>
      <c r="E155">
        <f>VLOOKUP(Policies!B155,BaseRates,2,FALSE)</f>
        <v/>
      </c>
      <c r="F155">
        <f>VLOOKUP(Policies!B155,BaseRates,3,FALSE)</f>
        <v/>
      </c>
      <c r="G155">
        <f>VLOOKUP(Policies!B155,BaseRates,4,FALSE)</f>
        <v/>
      </c>
      <c r="H155">
        <f>ROUND(E155*D155,2)</f>
        <v/>
      </c>
      <c r="I155">
        <f>INDEX(RateTables!$B$13:$B$16,MATCH(Policies!C155,RateTables!$A$13:$A$16,0))</f>
        <v/>
      </c>
      <c r="J155">
        <f>INDEX(RateTables!$C$13:$C$16,MATCH(Policies!C155,RateTables!$A$13:$A$16,0))</f>
        <v/>
      </c>
      <c r="K155">
        <f>INDEX(RateTables!$B$19:$C$28,MATCH(Policies!D155,RateTables!$A$19:$A$28,0),IF(Policies!C155="Frame",1,2))</f>
        <v/>
      </c>
      <c r="L155">
        <f>VLOOKUP(B155,AgeBands,2,TRUE)</f>
        <v/>
      </c>
      <c r="M155">
        <f>VLOOKUP(C155,RoofBands,2,TRUE)</f>
        <v/>
      </c>
      <c r="N155">
        <f>VLOOKUP(Policies!G155,AOIBands,2,TRUE)</f>
        <v/>
      </c>
      <c r="O155">
        <f>VLOOKUP(Policies!H155,RateTables!$A$31:$B$35,2,TRUE)</f>
        <v/>
      </c>
      <c r="P155">
        <f>VLOOKUP(MIN(Policies!L155,3),ClaimsTable,2,FALSE)</f>
        <v/>
      </c>
      <c r="Q155">
        <f>ROUND(H155*I155*K155*L155*M155*N155*O155*P155,2)</f>
        <v/>
      </c>
      <c r="R155">
        <f>IF(Policies!J155="Y",1,0)</f>
        <v/>
      </c>
      <c r="S155">
        <f>IF(AND(Policies!L155=0,B155&gt;=3),1,0)</f>
        <v/>
      </c>
      <c r="T155">
        <f>IF(B155&lt;=5,1,0)</f>
        <v/>
      </c>
      <c r="U155">
        <f>IF(Policies!K155="Basic",1,0)</f>
        <v/>
      </c>
      <c r="V155">
        <f>IF(Policies!K155="Fortified",1,0)</f>
        <v/>
      </c>
      <c r="W155">
        <f>SUMPRODUCT(R155:V155,CreditPcts)</f>
        <v/>
      </c>
      <c r="X155">
        <f>MIN(W155,CreditCap)</f>
        <v/>
      </c>
      <c r="Y155">
        <f>ROUND(Q155*(1-X155),2)</f>
        <v/>
      </c>
      <c r="Z155">
        <f>IF(Policies!I155="",0.02,Policies!I155)</f>
        <v/>
      </c>
      <c r="AA155">
        <f>IFERROR(VLOOKUP(Z155,HurrDedTable,2,FALSE),1)</f>
        <v/>
      </c>
      <c r="AB155">
        <f>IFERROR(INDEX(RateTables!$L$31:$L$33,MATCH(Policies!K155,RateTables!$K$31:$K$33,0)),1)</f>
        <v/>
      </c>
      <c r="AC155">
        <f>ROUND(F155*D155*J155*AA155*AB155,2)</f>
        <v/>
      </c>
      <c r="AD155">
        <f>MIN(AC155,Policies!G155*HurrCapPct)</f>
        <v/>
      </c>
      <c r="AE155">
        <f>Y155+AD155</f>
        <v/>
      </c>
      <c r="AF155" s="1">
        <f>EDATE(Policies!M155,Policies!N155)</f>
        <v/>
      </c>
      <c r="AG155">
        <f>ROUND(YEARFRAC(Policies!M155,AF155,3),4)</f>
        <v/>
      </c>
      <c r="AH155">
        <f>ROUND(AE155*AG155,2)</f>
        <v/>
      </c>
      <c r="AI155">
        <f>MAX(AH155,MinPremium)</f>
        <v/>
      </c>
      <c r="AJ155">
        <f>ROUNDUP(AI155,0)</f>
        <v/>
      </c>
      <c r="AK155">
        <f>VLOOKUP(Policies!N155,FeeTable,2,FALSE)</f>
        <v/>
      </c>
      <c r="AL155">
        <f>ROUND(AJ155*AssessRate,2)</f>
        <v/>
      </c>
      <c r="AM155">
        <f>ROUND((AJ155+AK155)*G155,2)</f>
        <v/>
      </c>
      <c r="AN155">
        <f>AJ155+AK155+AL155+AM155</f>
        <v/>
      </c>
      <c r="AO155">
        <f>IF(OR(Policies!G155&gt;1000000,C155&gt;20,Policies!L155&gt;=3),"REFER","OK")</f>
        <v/>
      </c>
      <c r="AP155">
        <f>ROUND(AH155/D155,3)</f>
        <v/>
      </c>
      <c r="AQ155">
        <f>Policies!B155&amp;"-"&amp;LEFT(Policies!C155,1)&amp;TEXT(Policies!D155,"00")</f>
        <v/>
      </c>
    </row>
    <row r="156">
      <c r="A156">
        <f>Policies!A156</f>
        <v/>
      </c>
      <c r="B156">
        <f>IFERROR(DATEDIF(DATE(Policies!E156,1,1),Policies!M156,"y"),0)</f>
        <v/>
      </c>
      <c r="C156">
        <f>Policies!F156*1</f>
        <v/>
      </c>
      <c r="D156">
        <f>Policies!G156/1000</f>
        <v/>
      </c>
      <c r="E156">
        <f>VLOOKUP(Policies!B156,BaseRates,2,FALSE)</f>
        <v/>
      </c>
      <c r="F156">
        <f>VLOOKUP(Policies!B156,BaseRates,3,FALSE)</f>
        <v/>
      </c>
      <c r="G156">
        <f>VLOOKUP(Policies!B156,BaseRates,4,FALSE)</f>
        <v/>
      </c>
      <c r="H156">
        <f>ROUND(E156*D156,2)</f>
        <v/>
      </c>
      <c r="I156">
        <f>INDEX(RateTables!$B$13:$B$16,MATCH(Policies!C156,RateTables!$A$13:$A$16,0))</f>
        <v/>
      </c>
      <c r="J156">
        <f>INDEX(RateTables!$C$13:$C$16,MATCH(Policies!C156,RateTables!$A$13:$A$16,0))</f>
        <v/>
      </c>
      <c r="K156">
        <f>INDEX(RateTables!$B$19:$C$28,MATCH(Policies!D156,RateTables!$A$19:$A$28,0),IF(Policies!C156="Frame",1,2))</f>
        <v/>
      </c>
      <c r="L156">
        <f>VLOOKUP(B156,AgeBands,2,TRUE)</f>
        <v/>
      </c>
      <c r="M156">
        <f>VLOOKUP(C156,RoofBands,2,TRUE)</f>
        <v/>
      </c>
      <c r="N156">
        <f>VLOOKUP(Policies!G156,AOIBands,2,TRUE)</f>
        <v/>
      </c>
      <c r="O156">
        <f>VLOOKUP(Policies!H156,RateTables!$A$31:$B$35,2,TRUE)</f>
        <v/>
      </c>
      <c r="P156">
        <f>VLOOKUP(MIN(Policies!L156,3),ClaimsTable,2,FALSE)</f>
        <v/>
      </c>
      <c r="Q156">
        <f>ROUND(H156*I156*K156*L156*M156*N156*O156*P156,2)</f>
        <v/>
      </c>
      <c r="R156">
        <f>IF(Policies!J156="Y",1,0)</f>
        <v/>
      </c>
      <c r="S156">
        <f>IF(AND(Policies!L156=0,B156&gt;=3),1,0)</f>
        <v/>
      </c>
      <c r="T156">
        <f>IF(B156&lt;=5,1,0)</f>
        <v/>
      </c>
      <c r="U156">
        <f>IF(Policies!K156="Basic",1,0)</f>
        <v/>
      </c>
      <c r="V156">
        <f>IF(Policies!K156="Fortified",1,0)</f>
        <v/>
      </c>
      <c r="W156">
        <f>SUMPRODUCT(R156:V156,CreditPcts)</f>
        <v/>
      </c>
      <c r="X156">
        <f>MIN(W156,CreditCap)</f>
        <v/>
      </c>
      <c r="Y156">
        <f>ROUND(Q156*(1-X156),2)</f>
        <v/>
      </c>
      <c r="Z156">
        <f>IF(Policies!I156="",0.02,Policies!I156)</f>
        <v/>
      </c>
      <c r="AA156">
        <f>IFERROR(VLOOKUP(Z156,HurrDedTable,2,FALSE),1)</f>
        <v/>
      </c>
      <c r="AB156">
        <f>IFERROR(INDEX(RateTables!$L$31:$L$33,MATCH(Policies!K156,RateTables!$K$31:$K$33,0)),1)</f>
        <v/>
      </c>
      <c r="AC156">
        <f>ROUND(F156*D156*J156*AA156*AB156,2)</f>
        <v/>
      </c>
      <c r="AD156">
        <f>MIN(AC156,Policies!G156*HurrCapPct)</f>
        <v/>
      </c>
      <c r="AE156">
        <f>Y156+AD156</f>
        <v/>
      </c>
      <c r="AF156" s="1">
        <f>EDATE(Policies!M156,Policies!N156)</f>
        <v/>
      </c>
      <c r="AG156">
        <f>ROUND(YEARFRAC(Policies!M156,AF156,3),4)</f>
        <v/>
      </c>
      <c r="AH156">
        <f>ROUND(AE156*AG156,2)</f>
        <v/>
      </c>
      <c r="AI156">
        <f>MAX(AH156,MinPremium)</f>
        <v/>
      </c>
      <c r="AJ156">
        <f>ROUNDUP(AI156,0)</f>
        <v/>
      </c>
      <c r="AK156">
        <f>VLOOKUP(Policies!N156,FeeTable,2,FALSE)</f>
        <v/>
      </c>
      <c r="AL156">
        <f>ROUND(AJ156*AssessRate,2)</f>
        <v/>
      </c>
      <c r="AM156">
        <f>ROUND((AJ156+AK156)*G156,2)</f>
        <v/>
      </c>
      <c r="AN156">
        <f>AJ156+AK156+AL156+AM156</f>
        <v/>
      </c>
      <c r="AO156">
        <f>IF(OR(Policies!G156&gt;1000000,C156&gt;20,Policies!L156&gt;=3),"REFER","OK")</f>
        <v/>
      </c>
      <c r="AP156">
        <f>ROUND(AH156/D156,3)</f>
        <v/>
      </c>
      <c r="AQ156">
        <f>Policies!B156&amp;"-"&amp;LEFT(Policies!C156,1)&amp;TEXT(Policies!D156,"00")</f>
        <v/>
      </c>
    </row>
    <row r="157">
      <c r="A157">
        <f>Policies!A157</f>
        <v/>
      </c>
      <c r="B157">
        <f>IFERROR(DATEDIF(DATE(Policies!E157,1,1),Policies!M157,"y"),0)</f>
        <v/>
      </c>
      <c r="C157">
        <f>Policies!F157*1</f>
        <v/>
      </c>
      <c r="D157">
        <f>Policies!G157/1000</f>
        <v/>
      </c>
      <c r="E157">
        <f>VLOOKUP(Policies!B157,BaseRates,2,FALSE)</f>
        <v/>
      </c>
      <c r="F157">
        <f>VLOOKUP(Policies!B157,BaseRates,3,FALSE)</f>
        <v/>
      </c>
      <c r="G157">
        <f>VLOOKUP(Policies!B157,BaseRates,4,FALSE)</f>
        <v/>
      </c>
      <c r="H157">
        <f>ROUND(E157*D157,2)</f>
        <v/>
      </c>
      <c r="I157">
        <f>INDEX(RateTables!$B$13:$B$16,MATCH(Policies!C157,RateTables!$A$13:$A$16,0))</f>
        <v/>
      </c>
      <c r="J157">
        <f>INDEX(RateTables!$C$13:$C$16,MATCH(Policies!C157,RateTables!$A$13:$A$16,0))</f>
        <v/>
      </c>
      <c r="K157">
        <f>INDEX(RateTables!$B$19:$C$28,MATCH(Policies!D157,RateTables!$A$19:$A$28,0),IF(Policies!C157="Frame",1,2))</f>
        <v/>
      </c>
      <c r="L157">
        <f>VLOOKUP(B157,AgeBands,2,TRUE)</f>
        <v/>
      </c>
      <c r="M157">
        <f>VLOOKUP(C157,RoofBands,2,TRUE)</f>
        <v/>
      </c>
      <c r="N157">
        <f>VLOOKUP(Policies!G157,AOIBands,2,TRUE)</f>
        <v/>
      </c>
      <c r="O157">
        <f>VLOOKUP(Policies!H157,RateTables!$A$31:$B$35,2,TRUE)</f>
        <v/>
      </c>
      <c r="P157">
        <f>VLOOKUP(MIN(Policies!L157,3),ClaimsTable,2,FALSE)</f>
        <v/>
      </c>
      <c r="Q157">
        <f>ROUND(H157*I157*K157*L157*M157*N157*O157*P157,2)</f>
        <v/>
      </c>
      <c r="R157">
        <f>IF(Policies!J157="Y",1,0)</f>
        <v/>
      </c>
      <c r="S157">
        <f>IF(AND(Policies!L157=0,B157&gt;=3),1,0)</f>
        <v/>
      </c>
      <c r="T157">
        <f>IF(B157&lt;=5,1,0)</f>
        <v/>
      </c>
      <c r="U157">
        <f>IF(Policies!K157="Basic",1,0)</f>
        <v/>
      </c>
      <c r="V157">
        <f>IF(Policies!K157="Fortified",1,0)</f>
        <v/>
      </c>
      <c r="W157">
        <f>SUMPRODUCT(R157:V157,CreditPcts)</f>
        <v/>
      </c>
      <c r="X157">
        <f>MIN(W157,CreditCap)</f>
        <v/>
      </c>
      <c r="Y157">
        <f>ROUND(Q157*(1-X157),2)</f>
        <v/>
      </c>
      <c r="Z157">
        <f>IF(Policies!I157="",0.02,Policies!I157)</f>
        <v/>
      </c>
      <c r="AA157">
        <f>IFERROR(VLOOKUP(Z157,HurrDedTable,2,FALSE),1)</f>
        <v/>
      </c>
      <c r="AB157">
        <f>IFERROR(INDEX(RateTables!$L$31:$L$33,MATCH(Policies!K157,RateTables!$K$31:$K$33,0)),1)</f>
        <v/>
      </c>
      <c r="AC157">
        <f>ROUND(F157*D157*J157*AA157*AB157,2)</f>
        <v/>
      </c>
      <c r="AD157">
        <f>MIN(AC157,Policies!G157*HurrCapPct)</f>
        <v/>
      </c>
      <c r="AE157">
        <f>Y157+AD157</f>
        <v/>
      </c>
      <c r="AF157" s="1">
        <f>EDATE(Policies!M157,Policies!N157)</f>
        <v/>
      </c>
      <c r="AG157">
        <f>ROUND(YEARFRAC(Policies!M157,AF157,3),4)</f>
        <v/>
      </c>
      <c r="AH157">
        <f>ROUND(AE157*AG157,2)</f>
        <v/>
      </c>
      <c r="AI157">
        <f>MAX(AH157,MinPremium)</f>
        <v/>
      </c>
      <c r="AJ157">
        <f>ROUNDUP(AI157,0)</f>
        <v/>
      </c>
      <c r="AK157">
        <f>VLOOKUP(Policies!N157,FeeTable,2,FALSE)</f>
        <v/>
      </c>
      <c r="AL157">
        <f>ROUND(AJ157*AssessRate,2)</f>
        <v/>
      </c>
      <c r="AM157">
        <f>ROUND((AJ157+AK157)*G157,2)</f>
        <v/>
      </c>
      <c r="AN157">
        <f>AJ157+AK157+AL157+AM157</f>
        <v/>
      </c>
      <c r="AO157">
        <f>IF(OR(Policies!G157&gt;1000000,C157&gt;20,Policies!L157&gt;=3),"REFER","OK")</f>
        <v/>
      </c>
      <c r="AP157">
        <f>ROUND(AH157/D157,3)</f>
        <v/>
      </c>
      <c r="AQ157">
        <f>Policies!B157&amp;"-"&amp;LEFT(Policies!C157,1)&amp;TEXT(Policies!D157,"00")</f>
        <v/>
      </c>
    </row>
    <row r="158">
      <c r="A158">
        <f>Policies!A158</f>
        <v/>
      </c>
      <c r="B158">
        <f>IFERROR(DATEDIF(DATE(Policies!E158,1,1),Policies!M158,"y"),0)</f>
        <v/>
      </c>
      <c r="C158">
        <f>Policies!F158*1</f>
        <v/>
      </c>
      <c r="D158">
        <f>Policies!G158/1000</f>
        <v/>
      </c>
      <c r="E158">
        <f>VLOOKUP(Policies!B158,BaseRates,2,FALSE)</f>
        <v/>
      </c>
      <c r="F158">
        <f>VLOOKUP(Policies!B158,BaseRates,3,FALSE)</f>
        <v/>
      </c>
      <c r="G158">
        <f>VLOOKUP(Policies!B158,BaseRates,4,FALSE)</f>
        <v/>
      </c>
      <c r="H158">
        <f>ROUND(E158*D158,2)</f>
        <v/>
      </c>
      <c r="I158">
        <f>INDEX(RateTables!$B$13:$B$16,MATCH(Policies!C158,RateTables!$A$13:$A$16,0))</f>
        <v/>
      </c>
      <c r="J158">
        <f>INDEX(RateTables!$C$13:$C$16,MATCH(Policies!C158,RateTables!$A$13:$A$16,0))</f>
        <v/>
      </c>
      <c r="K158">
        <f>INDEX(RateTables!$B$19:$C$28,MATCH(Policies!D158,RateTables!$A$19:$A$28,0),IF(Policies!C158="Frame",1,2))</f>
        <v/>
      </c>
      <c r="L158">
        <f>VLOOKUP(B158,AgeBands,2,TRUE)</f>
        <v/>
      </c>
      <c r="M158">
        <f>VLOOKUP(C158,RoofBands,2,TRUE)</f>
        <v/>
      </c>
      <c r="N158">
        <f>VLOOKUP(Policies!G158,AOIBands,2,TRUE)</f>
        <v/>
      </c>
      <c r="O158">
        <f>VLOOKUP(Policies!H158,RateTables!$A$31:$B$35,2,TRUE)</f>
        <v/>
      </c>
      <c r="P158">
        <f>VLOOKUP(MIN(Policies!L158,3),ClaimsTable,2,FALSE)</f>
        <v/>
      </c>
      <c r="Q158">
        <f>ROUND(H158*I158*K158*L158*M158*N158*O158*P158,2)</f>
        <v/>
      </c>
      <c r="R158">
        <f>IF(Policies!J158="Y",1,0)</f>
        <v/>
      </c>
      <c r="S158">
        <f>IF(AND(Policies!L158=0,B158&gt;=3),1,0)</f>
        <v/>
      </c>
      <c r="T158">
        <f>IF(B158&lt;=5,1,0)</f>
        <v/>
      </c>
      <c r="U158">
        <f>IF(Policies!K158="Basic",1,0)</f>
        <v/>
      </c>
      <c r="V158">
        <f>IF(Policies!K158="Fortified",1,0)</f>
        <v/>
      </c>
      <c r="W158">
        <f>SUMPRODUCT(R158:V158,CreditPcts)</f>
        <v/>
      </c>
      <c r="X158">
        <f>MIN(W158,CreditCap)</f>
        <v/>
      </c>
      <c r="Y158">
        <f>ROUND(Q158*(1-X158),2)</f>
        <v/>
      </c>
      <c r="Z158">
        <f>IF(Policies!I158="",0.02,Policies!I158)</f>
        <v/>
      </c>
      <c r="AA158">
        <f>IFERROR(VLOOKUP(Z158,HurrDedTable,2,FALSE),1)</f>
        <v/>
      </c>
      <c r="AB158">
        <f>IFERROR(INDEX(RateTables!$L$31:$L$33,MATCH(Policies!K158,RateTables!$K$31:$K$33,0)),1)</f>
        <v/>
      </c>
      <c r="AC158">
        <f>ROUND(F158*D158*J158*AA158*AB158,2)</f>
        <v/>
      </c>
      <c r="AD158">
        <f>MIN(AC158,Policies!G158*HurrCapPct)</f>
        <v/>
      </c>
      <c r="AE158">
        <f>Y158+AD158</f>
        <v/>
      </c>
      <c r="AF158" s="1">
        <f>EDATE(Policies!M158,Policies!N158)</f>
        <v/>
      </c>
      <c r="AG158">
        <f>ROUND(YEARFRAC(Policies!M158,AF158,3),4)</f>
        <v/>
      </c>
      <c r="AH158">
        <f>ROUND(AE158*AG158,2)</f>
        <v/>
      </c>
      <c r="AI158">
        <f>MAX(AH158,MinPremium)</f>
        <v/>
      </c>
      <c r="AJ158">
        <f>ROUNDUP(AI158,0)</f>
        <v/>
      </c>
      <c r="AK158">
        <f>VLOOKUP(Policies!N158,FeeTable,2,FALSE)</f>
        <v/>
      </c>
      <c r="AL158">
        <f>ROUND(AJ158*AssessRate,2)</f>
        <v/>
      </c>
      <c r="AM158">
        <f>ROUND((AJ158+AK158)*G158,2)</f>
        <v/>
      </c>
      <c r="AN158">
        <f>AJ158+AK158+AL158+AM158</f>
        <v/>
      </c>
      <c r="AO158">
        <f>IF(OR(Policies!G158&gt;1000000,C158&gt;20,Policies!L158&gt;=3),"REFER","OK")</f>
        <v/>
      </c>
      <c r="AP158">
        <f>ROUND(AH158/D158,3)</f>
        <v/>
      </c>
      <c r="AQ158">
        <f>Policies!B158&amp;"-"&amp;LEFT(Policies!C158,1)&amp;TEXT(Policies!D158,"00")</f>
        <v/>
      </c>
    </row>
    <row r="159">
      <c r="A159">
        <f>Policies!A159</f>
        <v/>
      </c>
      <c r="B159">
        <f>IFERROR(DATEDIF(DATE(Policies!E159,1,1),Policies!M159,"y"),0)</f>
        <v/>
      </c>
      <c r="C159">
        <f>Policies!F159*1</f>
        <v/>
      </c>
      <c r="D159">
        <f>Policies!G159/1000</f>
        <v/>
      </c>
      <c r="E159">
        <f>VLOOKUP(Policies!B159,BaseRates,2,FALSE)</f>
        <v/>
      </c>
      <c r="F159">
        <f>VLOOKUP(Policies!B159,BaseRates,3,FALSE)</f>
        <v/>
      </c>
      <c r="G159">
        <f>VLOOKUP(Policies!B159,BaseRates,4,FALSE)</f>
        <v/>
      </c>
      <c r="H159">
        <f>ROUND(E159*D159,2)</f>
        <v/>
      </c>
      <c r="I159">
        <f>INDEX(RateTables!$B$13:$B$16,MATCH(Policies!C159,RateTables!$A$13:$A$16,0))</f>
        <v/>
      </c>
      <c r="J159">
        <f>INDEX(RateTables!$C$13:$C$16,MATCH(Policies!C159,RateTables!$A$13:$A$16,0))</f>
        <v/>
      </c>
      <c r="K159">
        <f>INDEX(RateTables!$B$19:$C$28,MATCH(Policies!D159,RateTables!$A$19:$A$28,0),IF(Policies!C159="Frame",1,2))</f>
        <v/>
      </c>
      <c r="L159">
        <f>VLOOKUP(B159,AgeBands,2,TRUE)</f>
        <v/>
      </c>
      <c r="M159">
        <f>VLOOKUP(C159,RoofBands,2,TRUE)</f>
        <v/>
      </c>
      <c r="N159">
        <f>VLOOKUP(Policies!G159,AOIBands,2,TRUE)</f>
        <v/>
      </c>
      <c r="O159">
        <f>VLOOKUP(Policies!H159,RateTables!$A$31:$B$35,2,TRUE)</f>
        <v/>
      </c>
      <c r="P159">
        <f>VLOOKUP(MIN(Policies!L159,3),ClaimsTable,2,FALSE)</f>
        <v/>
      </c>
      <c r="Q159">
        <f>ROUND(H159*I159*K159*L159*M159*N159*O159*P159,2)</f>
        <v/>
      </c>
      <c r="R159">
        <f>IF(Policies!J159="Y",1,0)</f>
        <v/>
      </c>
      <c r="S159">
        <f>IF(AND(Policies!L159=0,B159&gt;=3),1,0)</f>
        <v/>
      </c>
      <c r="T159">
        <f>IF(B159&lt;=5,1,0)</f>
        <v/>
      </c>
      <c r="U159">
        <f>IF(Policies!K159="Basic",1,0)</f>
        <v/>
      </c>
      <c r="V159">
        <f>IF(Policies!K159="Fortified",1,0)</f>
        <v/>
      </c>
      <c r="W159">
        <f>SUMPRODUCT(R159:V159,CreditPcts)</f>
        <v/>
      </c>
      <c r="X159">
        <f>MIN(W159,CreditCap)</f>
        <v/>
      </c>
      <c r="Y159">
        <f>ROUND(Q159*(1-X159),2)</f>
        <v/>
      </c>
      <c r="Z159">
        <f>IF(Policies!I159="",0.02,Policies!I159)</f>
        <v/>
      </c>
      <c r="AA159">
        <f>IFERROR(VLOOKUP(Z159,HurrDedTable,2,FALSE),1)</f>
        <v/>
      </c>
      <c r="AB159">
        <f>IFERROR(INDEX(RateTables!$L$31:$L$33,MATCH(Policies!K159,RateTables!$K$31:$K$33,0)),1)</f>
        <v/>
      </c>
      <c r="AC159">
        <f>ROUND(F159*D159*J159*AA159*AB159,2)</f>
        <v/>
      </c>
      <c r="AD159">
        <f>MIN(AC159,Policies!G159*HurrCapPct)</f>
        <v/>
      </c>
      <c r="AE159">
        <f>Y159+AD159</f>
        <v/>
      </c>
      <c r="AF159" s="1">
        <f>EDATE(Policies!M159,Policies!N159)</f>
        <v/>
      </c>
      <c r="AG159">
        <f>ROUND(YEARFRAC(Policies!M159,AF159,3),4)</f>
        <v/>
      </c>
      <c r="AH159">
        <f>ROUND(AE159*AG159,2)</f>
        <v/>
      </c>
      <c r="AI159">
        <f>MAX(AH159,MinPremium)</f>
        <v/>
      </c>
      <c r="AJ159">
        <f>ROUNDUP(AI159,0)</f>
        <v/>
      </c>
      <c r="AK159">
        <f>VLOOKUP(Policies!N159,FeeTable,2,FALSE)</f>
        <v/>
      </c>
      <c r="AL159">
        <f>ROUND(AJ159*AssessRate,2)</f>
        <v/>
      </c>
      <c r="AM159">
        <f>ROUND((AJ159+AK159)*G159,2)</f>
        <v/>
      </c>
      <c r="AN159">
        <f>AJ159+AK159+AL159+AM159</f>
        <v/>
      </c>
      <c r="AO159">
        <f>IF(OR(Policies!G159&gt;1000000,C159&gt;20,Policies!L159&gt;=3),"REFER","OK")</f>
        <v/>
      </c>
      <c r="AP159">
        <f>ROUND(AH159/D159,3)</f>
        <v/>
      </c>
      <c r="AQ159">
        <f>Policies!B159&amp;"-"&amp;LEFT(Policies!C159,1)&amp;TEXT(Policies!D159,"00")</f>
        <v/>
      </c>
    </row>
    <row r="160">
      <c r="A160">
        <f>Policies!A160</f>
        <v/>
      </c>
      <c r="B160">
        <f>IFERROR(DATEDIF(DATE(Policies!E160,1,1),Policies!M160,"y"),0)</f>
        <v/>
      </c>
      <c r="C160">
        <f>Policies!F160*1</f>
        <v/>
      </c>
      <c r="D160">
        <f>Policies!G160/1000</f>
        <v/>
      </c>
      <c r="E160">
        <f>VLOOKUP(Policies!B160,BaseRates,2,FALSE)</f>
        <v/>
      </c>
      <c r="F160">
        <f>VLOOKUP(Policies!B160,BaseRates,3,FALSE)</f>
        <v/>
      </c>
      <c r="G160">
        <f>VLOOKUP(Policies!B160,BaseRates,4,FALSE)</f>
        <v/>
      </c>
      <c r="H160">
        <f>ROUND(E160*D160,2)</f>
        <v/>
      </c>
      <c r="I160">
        <f>INDEX(RateTables!$B$13:$B$16,MATCH(Policies!C160,RateTables!$A$13:$A$16,0))</f>
        <v/>
      </c>
      <c r="J160">
        <f>INDEX(RateTables!$C$13:$C$16,MATCH(Policies!C160,RateTables!$A$13:$A$16,0))</f>
        <v/>
      </c>
      <c r="K160">
        <f>INDEX(RateTables!$B$19:$C$28,MATCH(Policies!D160,RateTables!$A$19:$A$28,0),IF(Policies!C160="Frame",1,2))</f>
        <v/>
      </c>
      <c r="L160">
        <f>VLOOKUP(B160,AgeBands,2,TRUE)</f>
        <v/>
      </c>
      <c r="M160">
        <f>VLOOKUP(C160,RoofBands,2,TRUE)</f>
        <v/>
      </c>
      <c r="N160">
        <f>VLOOKUP(Policies!G160,AOIBands,2,TRUE)</f>
        <v/>
      </c>
      <c r="O160">
        <f>VLOOKUP(Policies!H160,RateTables!$A$31:$B$35,2,TRUE)</f>
        <v/>
      </c>
      <c r="P160">
        <f>VLOOKUP(MIN(Policies!L160,3),ClaimsTable,2,FALSE)</f>
        <v/>
      </c>
      <c r="Q160">
        <f>ROUND(H160*I160*K160*L160*M160*N160*O160*P160,2)</f>
        <v/>
      </c>
      <c r="R160">
        <f>IF(Policies!J160="Y",1,0)</f>
        <v/>
      </c>
      <c r="S160">
        <f>IF(AND(Policies!L160=0,B160&gt;=3),1,0)</f>
        <v/>
      </c>
      <c r="T160">
        <f>IF(B160&lt;=5,1,0)</f>
        <v/>
      </c>
      <c r="U160">
        <f>IF(Policies!K160="Basic",1,0)</f>
        <v/>
      </c>
      <c r="V160">
        <f>IF(Policies!K160="Fortified",1,0)</f>
        <v/>
      </c>
      <c r="W160">
        <f>SUMPRODUCT(R160:V160,CreditPcts)</f>
        <v/>
      </c>
      <c r="X160">
        <f>MIN(W160,CreditCap)</f>
        <v/>
      </c>
      <c r="Y160">
        <f>ROUND(Q160*(1-X160),2)</f>
        <v/>
      </c>
      <c r="Z160">
        <f>IF(Policies!I160="",0.02,Policies!I160)</f>
        <v/>
      </c>
      <c r="AA160">
        <f>IFERROR(VLOOKUP(Z160,HurrDedTable,2,FALSE),1)</f>
        <v/>
      </c>
      <c r="AB160">
        <f>IFERROR(INDEX(RateTables!$L$31:$L$33,MATCH(Policies!K160,RateTables!$K$31:$K$33,0)),1)</f>
        <v/>
      </c>
      <c r="AC160">
        <f>ROUND(F160*D160*J160*AA160*AB160,2)</f>
        <v/>
      </c>
      <c r="AD160">
        <f>MIN(AC160,Policies!G160*HurrCapPct)</f>
        <v/>
      </c>
      <c r="AE160">
        <f>Y160+AD160</f>
        <v/>
      </c>
      <c r="AF160" s="1">
        <f>EDATE(Policies!M160,Policies!N160)</f>
        <v/>
      </c>
      <c r="AG160">
        <f>ROUND(YEARFRAC(Policies!M160,AF160,3),4)</f>
        <v/>
      </c>
      <c r="AH160">
        <f>ROUND(AE160*AG160,2)</f>
        <v/>
      </c>
      <c r="AI160">
        <f>MAX(AH160,MinPremium)</f>
        <v/>
      </c>
      <c r="AJ160">
        <f>ROUNDUP(AI160,0)</f>
        <v/>
      </c>
      <c r="AK160">
        <f>VLOOKUP(Policies!N160,FeeTable,2,FALSE)</f>
        <v/>
      </c>
      <c r="AL160">
        <f>ROUND(AJ160*AssessRate,2)</f>
        <v/>
      </c>
      <c r="AM160">
        <f>ROUND((AJ160+AK160)*G160,2)</f>
        <v/>
      </c>
      <c r="AN160">
        <f>AJ160+AK160+AL160+AM160</f>
        <v/>
      </c>
      <c r="AO160">
        <f>IF(OR(Policies!G160&gt;1000000,C160&gt;20,Policies!L160&gt;=3),"REFER","OK")</f>
        <v/>
      </c>
      <c r="AP160">
        <f>ROUND(AH160/D160,3)</f>
        <v/>
      </c>
      <c r="AQ160">
        <f>Policies!B160&amp;"-"&amp;LEFT(Policies!C160,1)&amp;TEXT(Policies!D160,"00")</f>
        <v/>
      </c>
    </row>
    <row r="161">
      <c r="A161">
        <f>Policies!A161</f>
        <v/>
      </c>
      <c r="B161">
        <f>IFERROR(DATEDIF(DATE(Policies!E161,1,1),Policies!M161,"y"),0)</f>
        <v/>
      </c>
      <c r="C161">
        <f>Policies!F161*1</f>
        <v/>
      </c>
      <c r="D161">
        <f>Policies!G161/1000</f>
        <v/>
      </c>
      <c r="E161">
        <f>VLOOKUP(Policies!B161,BaseRates,2,FALSE)</f>
        <v/>
      </c>
      <c r="F161">
        <f>VLOOKUP(Policies!B161,BaseRates,3,FALSE)</f>
        <v/>
      </c>
      <c r="G161">
        <f>VLOOKUP(Policies!B161,BaseRates,4,FALSE)</f>
        <v/>
      </c>
      <c r="H161">
        <f>ROUND(E161*D161,2)</f>
        <v/>
      </c>
      <c r="I161">
        <f>INDEX(RateTables!$B$13:$B$16,MATCH(Policies!C161,RateTables!$A$13:$A$16,0))</f>
        <v/>
      </c>
      <c r="J161">
        <f>INDEX(RateTables!$C$13:$C$16,MATCH(Policies!C161,RateTables!$A$13:$A$16,0))</f>
        <v/>
      </c>
      <c r="K161">
        <f>INDEX(RateTables!$B$19:$C$28,MATCH(Policies!D161,RateTables!$A$19:$A$28,0),IF(Policies!C161="Frame",1,2))</f>
        <v/>
      </c>
      <c r="L161">
        <f>VLOOKUP(B161,AgeBands,2,TRUE)</f>
        <v/>
      </c>
      <c r="M161">
        <f>VLOOKUP(C161,RoofBands,2,TRUE)</f>
        <v/>
      </c>
      <c r="N161">
        <f>VLOOKUP(Policies!G161,AOIBands,2,TRUE)</f>
        <v/>
      </c>
      <c r="O161">
        <f>VLOOKUP(Policies!H161,RateTables!$A$31:$B$35,2,TRUE)</f>
        <v/>
      </c>
      <c r="P161">
        <f>VLOOKUP(MIN(Policies!L161,3),ClaimsTable,2,FALSE)</f>
        <v/>
      </c>
      <c r="Q161">
        <f>ROUND(H161*I161*K161*L161*M161*N161*O161*P161,2)</f>
        <v/>
      </c>
      <c r="R161">
        <f>IF(Policies!J161="Y",1,0)</f>
        <v/>
      </c>
      <c r="S161">
        <f>IF(AND(Policies!L161=0,B161&gt;=3),1,0)</f>
        <v/>
      </c>
      <c r="T161">
        <f>IF(B161&lt;=5,1,0)</f>
        <v/>
      </c>
      <c r="U161">
        <f>IF(Policies!K161="Basic",1,0)</f>
        <v/>
      </c>
      <c r="V161">
        <f>IF(Policies!K161="Fortified",1,0)</f>
        <v/>
      </c>
      <c r="W161">
        <f>SUMPRODUCT(R161:V161,CreditPcts)</f>
        <v/>
      </c>
      <c r="X161">
        <f>MIN(W161,CreditCap)</f>
        <v/>
      </c>
      <c r="Y161">
        <f>ROUND(Q161*(1-X161),2)</f>
        <v/>
      </c>
      <c r="Z161">
        <f>IF(Policies!I161="",0.02,Policies!I161)</f>
        <v/>
      </c>
      <c r="AA161">
        <f>IFERROR(VLOOKUP(Z161,HurrDedTable,2,FALSE),1)</f>
        <v/>
      </c>
      <c r="AB161">
        <f>IFERROR(INDEX(RateTables!$L$31:$L$33,MATCH(Policies!K161,RateTables!$K$31:$K$33,0)),1)</f>
        <v/>
      </c>
      <c r="AC161">
        <f>ROUND(F161*D161*J161*AA161*AB161,2)</f>
        <v/>
      </c>
      <c r="AD161">
        <f>MIN(AC161,Policies!G161*HurrCapPct)</f>
        <v/>
      </c>
      <c r="AE161">
        <f>Y161+AD161</f>
        <v/>
      </c>
      <c r="AF161" s="1">
        <f>EDATE(Policies!M161,Policies!N161)</f>
        <v/>
      </c>
      <c r="AG161">
        <f>ROUND(YEARFRAC(Policies!M161,AF161,3),4)</f>
        <v/>
      </c>
      <c r="AH161">
        <f>ROUND(AE161*AG161,2)</f>
        <v/>
      </c>
      <c r="AI161">
        <f>MAX(AH161,MinPremium)</f>
        <v/>
      </c>
      <c r="AJ161">
        <f>ROUNDUP(AI161,0)</f>
        <v/>
      </c>
      <c r="AK161">
        <f>VLOOKUP(Policies!N161,FeeTable,2,FALSE)</f>
        <v/>
      </c>
      <c r="AL161">
        <f>ROUND(AJ161*AssessRate,2)</f>
        <v/>
      </c>
      <c r="AM161">
        <f>ROUND((AJ161+AK161)*G161,2)</f>
        <v/>
      </c>
      <c r="AN161">
        <f>AJ161+AK161+AL161+AM161</f>
        <v/>
      </c>
      <c r="AO161">
        <f>IF(OR(Policies!G161&gt;1000000,C161&gt;20,Policies!L161&gt;=3),"REFER","OK")</f>
        <v/>
      </c>
      <c r="AP161">
        <f>ROUND(AH161/D161,3)</f>
        <v/>
      </c>
      <c r="AQ161">
        <f>Policies!B161&amp;"-"&amp;LEFT(Policies!C161,1)&amp;TEXT(Policies!D161,"00")</f>
        <v/>
      </c>
    </row>
    <row r="162">
      <c r="A162">
        <f>Policies!A162</f>
        <v/>
      </c>
      <c r="B162">
        <f>IFERROR(DATEDIF(DATE(Policies!E162,1,1),Policies!M162,"y"),0)</f>
        <v/>
      </c>
      <c r="C162">
        <f>Policies!F162*1</f>
        <v/>
      </c>
      <c r="D162">
        <f>Policies!G162/1000</f>
        <v/>
      </c>
      <c r="E162">
        <f>VLOOKUP(Policies!B162,BaseRates,2,FALSE)</f>
        <v/>
      </c>
      <c r="F162">
        <f>VLOOKUP(Policies!B162,BaseRates,3,FALSE)</f>
        <v/>
      </c>
      <c r="G162">
        <f>VLOOKUP(Policies!B162,BaseRates,4,FALSE)</f>
        <v/>
      </c>
      <c r="H162">
        <f>ROUND(E162*D162,2)</f>
        <v/>
      </c>
      <c r="I162">
        <f>INDEX(RateTables!$B$13:$B$16,MATCH(Policies!C162,RateTables!$A$13:$A$16,0))</f>
        <v/>
      </c>
      <c r="J162">
        <f>INDEX(RateTables!$C$13:$C$16,MATCH(Policies!C162,RateTables!$A$13:$A$16,0))</f>
        <v/>
      </c>
      <c r="K162">
        <f>INDEX(RateTables!$B$19:$C$28,MATCH(Policies!D162,RateTables!$A$19:$A$28,0),IF(Policies!C162="Frame",1,2))</f>
        <v/>
      </c>
      <c r="L162">
        <f>VLOOKUP(B162,AgeBands,2,TRUE)</f>
        <v/>
      </c>
      <c r="M162">
        <f>VLOOKUP(C162,RoofBands,2,TRUE)</f>
        <v/>
      </c>
      <c r="N162">
        <f>VLOOKUP(Policies!G162,AOIBands,2,TRUE)</f>
        <v/>
      </c>
      <c r="O162">
        <f>VLOOKUP(Policies!H162,RateTables!$A$31:$B$35,2,TRUE)</f>
        <v/>
      </c>
      <c r="P162">
        <f>VLOOKUP(MIN(Policies!L162,3),ClaimsTable,2,FALSE)</f>
        <v/>
      </c>
      <c r="Q162">
        <f>ROUND(H162*I162*K162*L162*M162*N162*O162*P162,2)</f>
        <v/>
      </c>
      <c r="R162">
        <f>IF(Policies!J162="Y",1,0)</f>
        <v/>
      </c>
      <c r="S162">
        <f>IF(AND(Policies!L162=0,B162&gt;=3),1,0)</f>
        <v/>
      </c>
      <c r="T162">
        <f>IF(B162&lt;=5,1,0)</f>
        <v/>
      </c>
      <c r="U162">
        <f>IF(Policies!K162="Basic",1,0)</f>
        <v/>
      </c>
      <c r="V162">
        <f>IF(Policies!K162="Fortified",1,0)</f>
        <v/>
      </c>
      <c r="W162">
        <f>SUMPRODUCT(R162:V162,CreditPcts)</f>
        <v/>
      </c>
      <c r="X162">
        <f>MIN(W162,CreditCap)</f>
        <v/>
      </c>
      <c r="Y162">
        <f>ROUND(Q162*(1-X162),2)</f>
        <v/>
      </c>
      <c r="Z162">
        <f>IF(Policies!I162="",0.02,Policies!I162)</f>
        <v/>
      </c>
      <c r="AA162">
        <f>IFERROR(VLOOKUP(Z162,HurrDedTable,2,FALSE),1)</f>
        <v/>
      </c>
      <c r="AB162">
        <f>IFERROR(INDEX(RateTables!$L$31:$L$33,MATCH(Policies!K162,RateTables!$K$31:$K$33,0)),1)</f>
        <v/>
      </c>
      <c r="AC162">
        <f>ROUND(F162*D162*J162*AA162*AB162,2)</f>
        <v/>
      </c>
      <c r="AD162">
        <f>MIN(AC162,Policies!G162*HurrCapPct)</f>
        <v/>
      </c>
      <c r="AE162">
        <f>Y162+AD162</f>
        <v/>
      </c>
      <c r="AF162" s="1">
        <f>EDATE(Policies!M162,Policies!N162)</f>
        <v/>
      </c>
      <c r="AG162">
        <f>ROUND(YEARFRAC(Policies!M162,AF162,3),4)</f>
        <v/>
      </c>
      <c r="AH162">
        <f>ROUND(AE162*AG162,2)</f>
        <v/>
      </c>
      <c r="AI162">
        <f>MAX(AH162,MinPremium)</f>
        <v/>
      </c>
      <c r="AJ162">
        <f>ROUNDUP(AI162,0)</f>
        <v/>
      </c>
      <c r="AK162">
        <f>VLOOKUP(Policies!N162,FeeTable,2,FALSE)</f>
        <v/>
      </c>
      <c r="AL162">
        <f>ROUND(AJ162*AssessRate,2)</f>
        <v/>
      </c>
      <c r="AM162">
        <f>ROUND((AJ162+AK162)*G162,2)</f>
        <v/>
      </c>
      <c r="AN162">
        <f>AJ162+AK162+AL162+AM162</f>
        <v/>
      </c>
      <c r="AO162">
        <f>IF(OR(Policies!G162&gt;1000000,C162&gt;20,Policies!L162&gt;=3),"REFER","OK")</f>
        <v/>
      </c>
      <c r="AP162">
        <f>ROUND(AH162/D162,3)</f>
        <v/>
      </c>
      <c r="AQ162">
        <f>Policies!B162&amp;"-"&amp;LEFT(Policies!C162,1)&amp;TEXT(Policies!D162,"00")</f>
        <v/>
      </c>
    </row>
    <row r="163">
      <c r="A163">
        <f>Policies!A163</f>
        <v/>
      </c>
      <c r="B163">
        <f>IFERROR(DATEDIF(DATE(Policies!E163,1,1),Policies!M163,"y"),0)</f>
        <v/>
      </c>
      <c r="C163">
        <f>Policies!F163*1</f>
        <v/>
      </c>
      <c r="D163">
        <f>Policies!G163/1000</f>
        <v/>
      </c>
      <c r="E163">
        <f>VLOOKUP(Policies!B163,BaseRates,2,FALSE)</f>
        <v/>
      </c>
      <c r="F163">
        <f>VLOOKUP(Policies!B163,BaseRates,3,FALSE)</f>
        <v/>
      </c>
      <c r="G163">
        <f>VLOOKUP(Policies!B163,BaseRates,4,FALSE)</f>
        <v/>
      </c>
      <c r="H163">
        <f>ROUND(E163*D163,2)</f>
        <v/>
      </c>
      <c r="I163">
        <f>INDEX(RateTables!$B$13:$B$16,MATCH(Policies!C163,RateTables!$A$13:$A$16,0))</f>
        <v/>
      </c>
      <c r="J163">
        <f>INDEX(RateTables!$C$13:$C$16,MATCH(Policies!C163,RateTables!$A$13:$A$16,0))</f>
        <v/>
      </c>
      <c r="K163">
        <f>INDEX(RateTables!$B$19:$C$28,MATCH(Policies!D163,RateTables!$A$19:$A$28,0),IF(Policies!C163="Frame",1,2))</f>
        <v/>
      </c>
      <c r="L163">
        <f>VLOOKUP(B163,AgeBands,2,TRUE)</f>
        <v/>
      </c>
      <c r="M163">
        <f>VLOOKUP(C163,RoofBands,2,TRUE)</f>
        <v/>
      </c>
      <c r="N163">
        <f>VLOOKUP(Policies!G163,AOIBands,2,TRUE)</f>
        <v/>
      </c>
      <c r="O163">
        <f>VLOOKUP(Policies!H163,RateTables!$A$31:$B$35,2,TRUE)</f>
        <v/>
      </c>
      <c r="P163">
        <f>VLOOKUP(MIN(Policies!L163,3),ClaimsTable,2,FALSE)</f>
        <v/>
      </c>
      <c r="Q163">
        <f>ROUND(H163*I163*K163*L163*M163*N163*O163*P163,2)</f>
        <v/>
      </c>
      <c r="R163">
        <f>IF(Policies!J163="Y",1,0)</f>
        <v/>
      </c>
      <c r="S163">
        <f>IF(AND(Policies!L163=0,B163&gt;=3),1,0)</f>
        <v/>
      </c>
      <c r="T163">
        <f>IF(B163&lt;=5,1,0)</f>
        <v/>
      </c>
      <c r="U163">
        <f>IF(Policies!K163="Basic",1,0)</f>
        <v/>
      </c>
      <c r="V163">
        <f>IF(Policies!K163="Fortified",1,0)</f>
        <v/>
      </c>
      <c r="W163">
        <f>SUMPRODUCT(R163:V163,CreditPcts)</f>
        <v/>
      </c>
      <c r="X163">
        <f>MIN(W163,CreditCap)</f>
        <v/>
      </c>
      <c r="Y163">
        <f>ROUND(Q163*(1-X163),2)</f>
        <v/>
      </c>
      <c r="Z163">
        <f>IF(Policies!I163="",0.02,Policies!I163)</f>
        <v/>
      </c>
      <c r="AA163">
        <f>IFERROR(VLOOKUP(Z163,HurrDedTable,2,FALSE),1)</f>
        <v/>
      </c>
      <c r="AB163">
        <f>IFERROR(INDEX(RateTables!$L$31:$L$33,MATCH(Policies!K163,RateTables!$K$31:$K$33,0)),1)</f>
        <v/>
      </c>
      <c r="AC163">
        <f>ROUND(F163*D163*J163*AA163*AB163,2)</f>
        <v/>
      </c>
      <c r="AD163">
        <f>MIN(AC163,Policies!G163*HurrCapPct)</f>
        <v/>
      </c>
      <c r="AE163">
        <f>Y163+AD163</f>
        <v/>
      </c>
      <c r="AF163" s="1">
        <f>EDATE(Policies!M163,Policies!N163)</f>
        <v/>
      </c>
      <c r="AG163">
        <f>ROUND(YEARFRAC(Policies!M163,AF163,3),4)</f>
        <v/>
      </c>
      <c r="AH163">
        <f>ROUND(AE163*AG163,2)</f>
        <v/>
      </c>
      <c r="AI163">
        <f>MAX(AH163,MinPremium)</f>
        <v/>
      </c>
      <c r="AJ163">
        <f>ROUNDUP(AI163,0)</f>
        <v/>
      </c>
      <c r="AK163">
        <f>VLOOKUP(Policies!N163,FeeTable,2,FALSE)</f>
        <v/>
      </c>
      <c r="AL163">
        <f>ROUND(AJ163*AssessRate,2)</f>
        <v/>
      </c>
      <c r="AM163">
        <f>ROUND((AJ163+AK163)*G163,2)</f>
        <v/>
      </c>
      <c r="AN163">
        <f>AJ163+AK163+AL163+AM163</f>
        <v/>
      </c>
      <c r="AO163">
        <f>IF(OR(Policies!G163&gt;1000000,C163&gt;20,Policies!L163&gt;=3),"REFER","OK")</f>
        <v/>
      </c>
      <c r="AP163">
        <f>ROUND(AH163/D163,3)</f>
        <v/>
      </c>
      <c r="AQ163">
        <f>Policies!B163&amp;"-"&amp;LEFT(Policies!C163,1)&amp;TEXT(Policies!D163,"00")</f>
        <v/>
      </c>
    </row>
    <row r="164">
      <c r="A164">
        <f>Policies!A164</f>
        <v/>
      </c>
      <c r="B164">
        <f>IFERROR(DATEDIF(DATE(Policies!E164,1,1),Policies!M164,"y"),0)</f>
        <v/>
      </c>
      <c r="C164">
        <f>Policies!F164*1</f>
        <v/>
      </c>
      <c r="D164">
        <f>Policies!G164/1000</f>
        <v/>
      </c>
      <c r="E164">
        <f>VLOOKUP(Policies!B164,BaseRates,2,FALSE)</f>
        <v/>
      </c>
      <c r="F164">
        <f>VLOOKUP(Policies!B164,BaseRates,3,FALSE)</f>
        <v/>
      </c>
      <c r="G164">
        <f>VLOOKUP(Policies!B164,BaseRates,4,FALSE)</f>
        <v/>
      </c>
      <c r="H164">
        <f>ROUND(E164*D164,2)</f>
        <v/>
      </c>
      <c r="I164">
        <f>INDEX(RateTables!$B$13:$B$16,MATCH(Policies!C164,RateTables!$A$13:$A$16,0))</f>
        <v/>
      </c>
      <c r="J164">
        <f>INDEX(RateTables!$C$13:$C$16,MATCH(Policies!C164,RateTables!$A$13:$A$16,0))</f>
        <v/>
      </c>
      <c r="K164">
        <f>INDEX(RateTables!$B$19:$C$28,MATCH(Policies!D164,RateTables!$A$19:$A$28,0),IF(Policies!C164="Frame",1,2))</f>
        <v/>
      </c>
      <c r="L164">
        <f>VLOOKUP(B164,AgeBands,2,TRUE)</f>
        <v/>
      </c>
      <c r="M164">
        <f>VLOOKUP(C164,RoofBands,2,TRUE)</f>
        <v/>
      </c>
      <c r="N164">
        <f>VLOOKUP(Policies!G164,AOIBands,2,TRUE)</f>
        <v/>
      </c>
      <c r="O164">
        <f>VLOOKUP(Policies!H164,RateTables!$A$31:$B$35,2,TRUE)</f>
        <v/>
      </c>
      <c r="P164">
        <f>VLOOKUP(MIN(Policies!L164,3),ClaimsTable,2,FALSE)</f>
        <v/>
      </c>
      <c r="Q164">
        <f>ROUND(H164*I164*K164*L164*M164*N164*O164*P164,2)</f>
        <v/>
      </c>
      <c r="R164">
        <f>IF(Policies!J164="Y",1,0)</f>
        <v/>
      </c>
      <c r="S164">
        <f>IF(AND(Policies!L164=0,B164&gt;=3),1,0)</f>
        <v/>
      </c>
      <c r="T164">
        <f>IF(B164&lt;=5,1,0)</f>
        <v/>
      </c>
      <c r="U164">
        <f>IF(Policies!K164="Basic",1,0)</f>
        <v/>
      </c>
      <c r="V164">
        <f>IF(Policies!K164="Fortified",1,0)</f>
        <v/>
      </c>
      <c r="W164">
        <f>SUMPRODUCT(R164:V164,CreditPcts)</f>
        <v/>
      </c>
      <c r="X164">
        <f>MIN(W164,CreditCap)</f>
        <v/>
      </c>
      <c r="Y164">
        <f>ROUND(Q164*(1-X164),2)</f>
        <v/>
      </c>
      <c r="Z164">
        <f>IF(Policies!I164="",0.02,Policies!I164)</f>
        <v/>
      </c>
      <c r="AA164">
        <f>IFERROR(VLOOKUP(Z164,HurrDedTable,2,FALSE),1)</f>
        <v/>
      </c>
      <c r="AB164">
        <f>IFERROR(INDEX(RateTables!$L$31:$L$33,MATCH(Policies!K164,RateTables!$K$31:$K$33,0)),1)</f>
        <v/>
      </c>
      <c r="AC164">
        <f>ROUND(F164*D164*J164*AA164*AB164,2)</f>
        <v/>
      </c>
      <c r="AD164">
        <f>MIN(AC164,Policies!G164*HurrCapPct)</f>
        <v/>
      </c>
      <c r="AE164">
        <f>Y164+AD164</f>
        <v/>
      </c>
      <c r="AF164" s="1">
        <f>EDATE(Policies!M164,Policies!N164)</f>
        <v/>
      </c>
      <c r="AG164">
        <f>ROUND(YEARFRAC(Policies!M164,AF164,3),4)</f>
        <v/>
      </c>
      <c r="AH164">
        <f>ROUND(AE164*AG164,2)</f>
        <v/>
      </c>
      <c r="AI164">
        <f>MAX(AH164,MinPremium)</f>
        <v/>
      </c>
      <c r="AJ164">
        <f>ROUNDUP(AI164,0)</f>
        <v/>
      </c>
      <c r="AK164">
        <f>VLOOKUP(Policies!N164,FeeTable,2,FALSE)</f>
        <v/>
      </c>
      <c r="AL164">
        <f>ROUND(AJ164*AssessRate,2)</f>
        <v/>
      </c>
      <c r="AM164">
        <f>ROUND((AJ164+AK164)*G164,2)</f>
        <v/>
      </c>
      <c r="AN164">
        <f>AJ164+AK164+AL164+AM164</f>
        <v/>
      </c>
      <c r="AO164">
        <f>IF(OR(Policies!G164&gt;1000000,C164&gt;20,Policies!L164&gt;=3),"REFER","OK")</f>
        <v/>
      </c>
      <c r="AP164">
        <f>ROUND(AH164/D164,3)</f>
        <v/>
      </c>
      <c r="AQ164">
        <f>Policies!B164&amp;"-"&amp;LEFT(Policies!C164,1)&amp;TEXT(Policies!D164,"00")</f>
        <v/>
      </c>
    </row>
    <row r="165">
      <c r="A165">
        <f>Policies!A165</f>
        <v/>
      </c>
      <c r="B165">
        <f>IFERROR(DATEDIF(DATE(Policies!E165,1,1),Policies!M165,"y"),0)</f>
        <v/>
      </c>
      <c r="C165">
        <f>Policies!F165*1</f>
        <v/>
      </c>
      <c r="D165">
        <f>Policies!G165/1000</f>
        <v/>
      </c>
      <c r="E165">
        <f>VLOOKUP(Policies!B165,BaseRates,2,FALSE)</f>
        <v/>
      </c>
      <c r="F165">
        <f>VLOOKUP(Policies!B165,BaseRates,3,FALSE)</f>
        <v/>
      </c>
      <c r="G165">
        <f>VLOOKUP(Policies!B165,BaseRates,4,FALSE)</f>
        <v/>
      </c>
      <c r="H165">
        <f>ROUND(E165*D165,2)</f>
        <v/>
      </c>
      <c r="I165">
        <f>INDEX(RateTables!$B$13:$B$16,MATCH(Policies!C165,RateTables!$A$13:$A$16,0))</f>
        <v/>
      </c>
      <c r="J165">
        <f>INDEX(RateTables!$C$13:$C$16,MATCH(Policies!C165,RateTables!$A$13:$A$16,0))</f>
        <v/>
      </c>
      <c r="K165">
        <f>INDEX(RateTables!$B$19:$C$28,MATCH(Policies!D165,RateTables!$A$19:$A$28,0),IF(Policies!C165="Frame",1,2))</f>
        <v/>
      </c>
      <c r="L165">
        <f>VLOOKUP(B165,AgeBands,2,TRUE)</f>
        <v/>
      </c>
      <c r="M165">
        <f>VLOOKUP(C165,RoofBands,2,TRUE)</f>
        <v/>
      </c>
      <c r="N165">
        <f>VLOOKUP(Policies!G165,AOIBands,2,TRUE)</f>
        <v/>
      </c>
      <c r="O165">
        <f>VLOOKUP(Policies!H165,RateTables!$A$31:$B$35,2,TRUE)</f>
        <v/>
      </c>
      <c r="P165">
        <f>VLOOKUP(MIN(Policies!L165,3),ClaimsTable,2,FALSE)</f>
        <v/>
      </c>
      <c r="Q165">
        <f>ROUND(H165*I165*K165*L165*M165*N165*O165*P165,2)</f>
        <v/>
      </c>
      <c r="R165">
        <f>IF(Policies!J165="Y",1,0)</f>
        <v/>
      </c>
      <c r="S165">
        <f>IF(AND(Policies!L165=0,B165&gt;=3),1,0)</f>
        <v/>
      </c>
      <c r="T165">
        <f>IF(B165&lt;=5,1,0)</f>
        <v/>
      </c>
      <c r="U165">
        <f>IF(Policies!K165="Basic",1,0)</f>
        <v/>
      </c>
      <c r="V165">
        <f>IF(Policies!K165="Fortified",1,0)</f>
        <v/>
      </c>
      <c r="W165">
        <f>SUMPRODUCT(R165:V165,CreditPcts)</f>
        <v/>
      </c>
      <c r="X165">
        <f>MIN(W165,CreditCap)</f>
        <v/>
      </c>
      <c r="Y165">
        <f>ROUND(Q165*(1-X165),2)</f>
        <v/>
      </c>
      <c r="Z165">
        <f>IF(Policies!I165="",0.02,Policies!I165)</f>
        <v/>
      </c>
      <c r="AA165">
        <f>IFERROR(VLOOKUP(Z165,HurrDedTable,2,FALSE),1)</f>
        <v/>
      </c>
      <c r="AB165">
        <f>IFERROR(INDEX(RateTables!$L$31:$L$33,MATCH(Policies!K165,RateTables!$K$31:$K$33,0)),1)</f>
        <v/>
      </c>
      <c r="AC165">
        <f>ROUND(F165*D165*J165*AA165*AB165,2)</f>
        <v/>
      </c>
      <c r="AD165">
        <f>MIN(AC165,Policies!G165*HurrCapPct)</f>
        <v/>
      </c>
      <c r="AE165">
        <f>Y165+AD165</f>
        <v/>
      </c>
      <c r="AF165" s="1">
        <f>EDATE(Policies!M165,Policies!N165)</f>
        <v/>
      </c>
      <c r="AG165">
        <f>ROUND(YEARFRAC(Policies!M165,AF165,3),4)</f>
        <v/>
      </c>
      <c r="AH165">
        <f>ROUND(AE165*AG165,2)</f>
        <v/>
      </c>
      <c r="AI165">
        <f>MAX(AH165,MinPremium)</f>
        <v/>
      </c>
      <c r="AJ165">
        <f>ROUNDUP(AI165,0)</f>
        <v/>
      </c>
      <c r="AK165">
        <f>VLOOKUP(Policies!N165,FeeTable,2,FALSE)</f>
        <v/>
      </c>
      <c r="AL165">
        <f>ROUND(AJ165*AssessRate,2)</f>
        <v/>
      </c>
      <c r="AM165">
        <f>ROUND((AJ165+AK165)*G165,2)</f>
        <v/>
      </c>
      <c r="AN165">
        <f>AJ165+AK165+AL165+AM165</f>
        <v/>
      </c>
      <c r="AO165">
        <f>IF(OR(Policies!G165&gt;1000000,C165&gt;20,Policies!L165&gt;=3),"REFER","OK")</f>
        <v/>
      </c>
      <c r="AP165">
        <f>ROUND(AH165/D165,3)</f>
        <v/>
      </c>
      <c r="AQ165">
        <f>Policies!B165&amp;"-"&amp;LEFT(Policies!C165,1)&amp;TEXT(Policies!D165,"00")</f>
        <v/>
      </c>
    </row>
    <row r="166">
      <c r="A166">
        <f>Policies!A166</f>
        <v/>
      </c>
      <c r="B166">
        <f>IFERROR(DATEDIF(DATE(Policies!E166,1,1),Policies!M166,"y"),0)</f>
        <v/>
      </c>
      <c r="C166">
        <f>Policies!F166*1</f>
        <v/>
      </c>
      <c r="D166">
        <f>Policies!G166/1000</f>
        <v/>
      </c>
      <c r="E166">
        <f>VLOOKUP(Policies!B166,BaseRates,2,FALSE)</f>
        <v/>
      </c>
      <c r="F166">
        <f>VLOOKUP(Policies!B166,BaseRates,3,FALSE)</f>
        <v/>
      </c>
      <c r="G166">
        <f>VLOOKUP(Policies!B166,BaseRates,4,FALSE)</f>
        <v/>
      </c>
      <c r="H166">
        <f>ROUND(E166*D166,2)</f>
        <v/>
      </c>
      <c r="I166">
        <f>INDEX(RateTables!$B$13:$B$16,MATCH(Policies!C166,RateTables!$A$13:$A$16,0))</f>
        <v/>
      </c>
      <c r="J166">
        <f>INDEX(RateTables!$C$13:$C$16,MATCH(Policies!C166,RateTables!$A$13:$A$16,0))</f>
        <v/>
      </c>
      <c r="K166">
        <f>INDEX(RateTables!$B$19:$C$28,MATCH(Policies!D166,RateTables!$A$19:$A$28,0),IF(Policies!C166="Frame",1,2))</f>
        <v/>
      </c>
      <c r="L166">
        <f>VLOOKUP(B166,AgeBands,2,TRUE)</f>
        <v/>
      </c>
      <c r="M166">
        <f>VLOOKUP(C166,RoofBands,2,TRUE)</f>
        <v/>
      </c>
      <c r="N166">
        <f>VLOOKUP(Policies!G166,AOIBands,2,TRUE)</f>
        <v/>
      </c>
      <c r="O166">
        <f>VLOOKUP(Policies!H166,RateTables!$A$31:$B$35,2,TRUE)</f>
        <v/>
      </c>
      <c r="P166">
        <f>VLOOKUP(MIN(Policies!L166,3),ClaimsTable,2,FALSE)</f>
        <v/>
      </c>
      <c r="Q166">
        <f>ROUND(H166*I166*K166*L166*M166*N166*O166*P166,2)</f>
        <v/>
      </c>
      <c r="R166">
        <f>IF(Policies!J166="Y",1,0)</f>
        <v/>
      </c>
      <c r="S166">
        <f>IF(AND(Policies!L166=0,B166&gt;=3),1,0)</f>
        <v/>
      </c>
      <c r="T166">
        <f>IF(B166&lt;=5,1,0)</f>
        <v/>
      </c>
      <c r="U166">
        <f>IF(Policies!K166="Basic",1,0)</f>
        <v/>
      </c>
      <c r="V166">
        <f>IF(Policies!K166="Fortified",1,0)</f>
        <v/>
      </c>
      <c r="W166">
        <f>SUMPRODUCT(R166:V166,CreditPcts)</f>
        <v/>
      </c>
      <c r="X166">
        <f>MIN(W166,CreditCap)</f>
        <v/>
      </c>
      <c r="Y166">
        <f>ROUND(Q166*(1-X166),2)</f>
        <v/>
      </c>
      <c r="Z166">
        <f>IF(Policies!I166="",0.02,Policies!I166)</f>
        <v/>
      </c>
      <c r="AA166">
        <f>IFERROR(VLOOKUP(Z166,HurrDedTable,2,FALSE),1)</f>
        <v/>
      </c>
      <c r="AB166">
        <f>IFERROR(INDEX(RateTables!$L$31:$L$33,MATCH(Policies!K166,RateTables!$K$31:$K$33,0)),1)</f>
        <v/>
      </c>
      <c r="AC166">
        <f>ROUND(F166*D166*J166*AA166*AB166,2)</f>
        <v/>
      </c>
      <c r="AD166">
        <f>MIN(AC166,Policies!G166*HurrCapPct)</f>
        <v/>
      </c>
      <c r="AE166">
        <f>Y166+AD166</f>
        <v/>
      </c>
      <c r="AF166" s="1">
        <f>EDATE(Policies!M166,Policies!N166)</f>
        <v/>
      </c>
      <c r="AG166">
        <f>ROUND(YEARFRAC(Policies!M166,AF166,3),4)</f>
        <v/>
      </c>
      <c r="AH166">
        <f>ROUND(AE166*AG166,2)</f>
        <v/>
      </c>
      <c r="AI166">
        <f>MAX(AH166,MinPremium)</f>
        <v/>
      </c>
      <c r="AJ166">
        <f>ROUNDUP(AI166,0)</f>
        <v/>
      </c>
      <c r="AK166">
        <f>VLOOKUP(Policies!N166,FeeTable,2,FALSE)</f>
        <v/>
      </c>
      <c r="AL166">
        <f>ROUND(AJ166*AssessRate,2)</f>
        <v/>
      </c>
      <c r="AM166">
        <f>ROUND((AJ166+AK166)*G166,2)</f>
        <v/>
      </c>
      <c r="AN166">
        <f>AJ166+AK166+AL166+AM166</f>
        <v/>
      </c>
      <c r="AO166">
        <f>IF(OR(Policies!G166&gt;1000000,C166&gt;20,Policies!L166&gt;=3),"REFER","OK")</f>
        <v/>
      </c>
      <c r="AP166">
        <f>ROUND(AH166/D166,3)</f>
        <v/>
      </c>
      <c r="AQ166">
        <f>Policies!B166&amp;"-"&amp;LEFT(Policies!C166,1)&amp;TEXT(Policies!D166,"00")</f>
        <v/>
      </c>
    </row>
    <row r="167">
      <c r="A167">
        <f>Policies!A167</f>
        <v/>
      </c>
      <c r="B167">
        <f>IFERROR(DATEDIF(DATE(Policies!E167,1,1),Policies!M167,"y"),0)</f>
        <v/>
      </c>
      <c r="C167">
        <f>Policies!F167*1</f>
        <v/>
      </c>
      <c r="D167">
        <f>Policies!G167/1000</f>
        <v/>
      </c>
      <c r="E167">
        <f>VLOOKUP(Policies!B167,BaseRates,2,FALSE)</f>
        <v/>
      </c>
      <c r="F167">
        <f>VLOOKUP(Policies!B167,BaseRates,3,FALSE)</f>
        <v/>
      </c>
      <c r="G167">
        <f>VLOOKUP(Policies!B167,BaseRates,4,FALSE)</f>
        <v/>
      </c>
      <c r="H167">
        <f>ROUND(E167*D167,2)</f>
        <v/>
      </c>
      <c r="I167">
        <f>INDEX(RateTables!$B$13:$B$16,MATCH(Policies!C167,RateTables!$A$13:$A$16,0))</f>
        <v/>
      </c>
      <c r="J167">
        <f>INDEX(RateTables!$C$13:$C$16,MATCH(Policies!C167,RateTables!$A$13:$A$16,0))</f>
        <v/>
      </c>
      <c r="K167">
        <f>INDEX(RateTables!$B$19:$C$28,MATCH(Policies!D167,RateTables!$A$19:$A$28,0),IF(Policies!C167="Frame",1,2))</f>
        <v/>
      </c>
      <c r="L167">
        <f>VLOOKUP(B167,AgeBands,2,TRUE)</f>
        <v/>
      </c>
      <c r="M167">
        <f>VLOOKUP(C167,RoofBands,2,TRUE)</f>
        <v/>
      </c>
      <c r="N167">
        <f>VLOOKUP(Policies!G167,AOIBands,2,TRUE)</f>
        <v/>
      </c>
      <c r="O167">
        <f>VLOOKUP(Policies!H167,RateTables!$A$31:$B$35,2,TRUE)</f>
        <v/>
      </c>
      <c r="P167">
        <f>VLOOKUP(MIN(Policies!L167,3),ClaimsTable,2,FALSE)</f>
        <v/>
      </c>
      <c r="Q167">
        <f>ROUND(H167*I167*K167*L167*M167*N167*O167*P167,2)</f>
        <v/>
      </c>
      <c r="R167">
        <f>IF(Policies!J167="Y",1,0)</f>
        <v/>
      </c>
      <c r="S167">
        <f>IF(AND(Policies!L167=0,B167&gt;=3),1,0)</f>
        <v/>
      </c>
      <c r="T167">
        <f>IF(B167&lt;=5,1,0)</f>
        <v/>
      </c>
      <c r="U167">
        <f>IF(Policies!K167="Basic",1,0)</f>
        <v/>
      </c>
      <c r="V167">
        <f>IF(Policies!K167="Fortified",1,0)</f>
        <v/>
      </c>
      <c r="W167">
        <f>SUMPRODUCT(R167:V167,CreditPcts)</f>
        <v/>
      </c>
      <c r="X167">
        <f>MIN(W167,CreditCap)</f>
        <v/>
      </c>
      <c r="Y167">
        <f>ROUND(Q167*(1-X167),2)</f>
        <v/>
      </c>
      <c r="Z167">
        <f>IF(Policies!I167="",0.02,Policies!I167)</f>
        <v/>
      </c>
      <c r="AA167">
        <f>IFERROR(VLOOKUP(Z167,HurrDedTable,2,FALSE),1)</f>
        <v/>
      </c>
      <c r="AB167">
        <f>IFERROR(INDEX(RateTables!$L$31:$L$33,MATCH(Policies!K167,RateTables!$K$31:$K$33,0)),1)</f>
        <v/>
      </c>
      <c r="AC167">
        <f>ROUND(F167*D167*J167*AA167*AB167,2)</f>
        <v/>
      </c>
      <c r="AD167">
        <f>MIN(AC167,Policies!G167*HurrCapPct)</f>
        <v/>
      </c>
      <c r="AE167">
        <f>Y167+AD167</f>
        <v/>
      </c>
      <c r="AF167" s="1">
        <f>EDATE(Policies!M167,Policies!N167)</f>
        <v/>
      </c>
      <c r="AG167">
        <f>ROUND(YEARFRAC(Policies!M167,AF167,3),4)</f>
        <v/>
      </c>
      <c r="AH167">
        <f>ROUND(AE167*AG167,2)</f>
        <v/>
      </c>
      <c r="AI167">
        <f>MAX(AH167,MinPremium)</f>
        <v/>
      </c>
      <c r="AJ167">
        <f>ROUNDUP(AI167,0)</f>
        <v/>
      </c>
      <c r="AK167">
        <f>VLOOKUP(Policies!N167,FeeTable,2,FALSE)</f>
        <v/>
      </c>
      <c r="AL167">
        <f>ROUND(AJ167*AssessRate,2)</f>
        <v/>
      </c>
      <c r="AM167">
        <f>ROUND((AJ167+AK167)*G167,2)</f>
        <v/>
      </c>
      <c r="AN167">
        <f>AJ167+AK167+AL167+AM167</f>
        <v/>
      </c>
      <c r="AO167">
        <f>IF(OR(Policies!G167&gt;1000000,C167&gt;20,Policies!L167&gt;=3),"REFER","OK")</f>
        <v/>
      </c>
      <c r="AP167">
        <f>ROUND(AH167/D167,3)</f>
        <v/>
      </c>
      <c r="AQ167">
        <f>Policies!B167&amp;"-"&amp;LEFT(Policies!C167,1)&amp;TEXT(Policies!D167,"00")</f>
        <v/>
      </c>
    </row>
    <row r="168">
      <c r="A168">
        <f>Policies!A168</f>
        <v/>
      </c>
      <c r="B168">
        <f>IFERROR(DATEDIF(DATE(Policies!E168,1,1),Policies!M168,"y"),0)</f>
        <v/>
      </c>
      <c r="C168">
        <f>Policies!F168*1</f>
        <v/>
      </c>
      <c r="D168">
        <f>Policies!G168/1000</f>
        <v/>
      </c>
      <c r="E168">
        <f>VLOOKUP(Policies!B168,BaseRates,2,FALSE)</f>
        <v/>
      </c>
      <c r="F168">
        <f>VLOOKUP(Policies!B168,BaseRates,3,FALSE)</f>
        <v/>
      </c>
      <c r="G168">
        <f>VLOOKUP(Policies!B168,BaseRates,4,FALSE)</f>
        <v/>
      </c>
      <c r="H168">
        <f>ROUND(E168*D168,2)</f>
        <v/>
      </c>
      <c r="I168">
        <f>INDEX(RateTables!$B$13:$B$16,MATCH(Policies!C168,RateTables!$A$13:$A$16,0))</f>
        <v/>
      </c>
      <c r="J168">
        <f>INDEX(RateTables!$C$13:$C$16,MATCH(Policies!C168,RateTables!$A$13:$A$16,0))</f>
        <v/>
      </c>
      <c r="K168">
        <f>INDEX(RateTables!$B$19:$C$28,MATCH(Policies!D168,RateTables!$A$19:$A$28,0),IF(Policies!C168="Frame",1,2))</f>
        <v/>
      </c>
      <c r="L168">
        <f>VLOOKUP(B168,AgeBands,2,TRUE)</f>
        <v/>
      </c>
      <c r="M168">
        <f>VLOOKUP(C168,RoofBands,2,TRUE)</f>
        <v/>
      </c>
      <c r="N168">
        <f>VLOOKUP(Policies!G168,AOIBands,2,TRUE)</f>
        <v/>
      </c>
      <c r="O168">
        <f>VLOOKUP(Policies!H168,RateTables!$A$31:$B$35,2,TRUE)</f>
        <v/>
      </c>
      <c r="P168">
        <f>VLOOKUP(MIN(Policies!L168,3),ClaimsTable,2,FALSE)</f>
        <v/>
      </c>
      <c r="Q168">
        <f>ROUND(H168*I168*K168*L168*M168*N168*O168*P168,2)</f>
        <v/>
      </c>
      <c r="R168">
        <f>IF(Policies!J168="Y",1,0)</f>
        <v/>
      </c>
      <c r="S168">
        <f>IF(AND(Policies!L168=0,B168&gt;=3),1,0)</f>
        <v/>
      </c>
      <c r="T168">
        <f>IF(B168&lt;=5,1,0)</f>
        <v/>
      </c>
      <c r="U168">
        <f>IF(Policies!K168="Basic",1,0)</f>
        <v/>
      </c>
      <c r="V168">
        <f>IF(Policies!K168="Fortified",1,0)</f>
        <v/>
      </c>
      <c r="W168">
        <f>SUMPRODUCT(R168:V168,CreditPcts)</f>
        <v/>
      </c>
      <c r="X168">
        <f>MIN(W168,CreditCap)</f>
        <v/>
      </c>
      <c r="Y168">
        <f>ROUND(Q168*(1-X168),2)</f>
        <v/>
      </c>
      <c r="Z168">
        <f>IF(Policies!I168="",0.02,Policies!I168)</f>
        <v/>
      </c>
      <c r="AA168">
        <f>IFERROR(VLOOKUP(Z168,HurrDedTable,2,FALSE),1)</f>
        <v/>
      </c>
      <c r="AB168">
        <f>IFERROR(INDEX(RateTables!$L$31:$L$33,MATCH(Policies!K168,RateTables!$K$31:$K$33,0)),1)</f>
        <v/>
      </c>
      <c r="AC168">
        <f>ROUND(F168*D168*J168*AA168*AB168,2)</f>
        <v/>
      </c>
      <c r="AD168">
        <f>MIN(AC168,Policies!G168*HurrCapPct)</f>
        <v/>
      </c>
      <c r="AE168">
        <f>Y168+AD168</f>
        <v/>
      </c>
      <c r="AF168" s="1">
        <f>EDATE(Policies!M168,Policies!N168)</f>
        <v/>
      </c>
      <c r="AG168">
        <f>ROUND(YEARFRAC(Policies!M168,AF168,3),4)</f>
        <v/>
      </c>
      <c r="AH168">
        <f>ROUND(AE168*AG168,2)</f>
        <v/>
      </c>
      <c r="AI168">
        <f>MAX(AH168,MinPremium)</f>
        <v/>
      </c>
      <c r="AJ168">
        <f>ROUNDUP(AI168,0)</f>
        <v/>
      </c>
      <c r="AK168">
        <f>VLOOKUP(Policies!N168,FeeTable,2,FALSE)</f>
        <v/>
      </c>
      <c r="AL168">
        <f>ROUND(AJ168*AssessRate,2)</f>
        <v/>
      </c>
      <c r="AM168">
        <f>ROUND((AJ168+AK168)*G168,2)</f>
        <v/>
      </c>
      <c r="AN168">
        <f>AJ168+AK168+AL168+AM168</f>
        <v/>
      </c>
      <c r="AO168">
        <f>IF(OR(Policies!G168&gt;1000000,C168&gt;20,Policies!L168&gt;=3),"REFER","OK")</f>
        <v/>
      </c>
      <c r="AP168">
        <f>ROUND(AH168/D168,3)</f>
        <v/>
      </c>
      <c r="AQ168">
        <f>Policies!B168&amp;"-"&amp;LEFT(Policies!C168,1)&amp;TEXT(Policies!D168,"00")</f>
        <v/>
      </c>
    </row>
    <row r="169">
      <c r="A169">
        <f>Policies!A169</f>
        <v/>
      </c>
      <c r="B169">
        <f>IFERROR(DATEDIF(DATE(Policies!E169,1,1),Policies!M169,"y"),0)</f>
        <v/>
      </c>
      <c r="C169">
        <f>Policies!F169*1</f>
        <v/>
      </c>
      <c r="D169">
        <f>Policies!G169/1000</f>
        <v/>
      </c>
      <c r="E169">
        <f>VLOOKUP(Policies!B169,BaseRates,2,FALSE)</f>
        <v/>
      </c>
      <c r="F169">
        <f>VLOOKUP(Policies!B169,BaseRates,3,FALSE)</f>
        <v/>
      </c>
      <c r="G169">
        <f>VLOOKUP(Policies!B169,BaseRates,4,FALSE)</f>
        <v/>
      </c>
      <c r="H169">
        <f>ROUND(E169*D169,2)</f>
        <v/>
      </c>
      <c r="I169">
        <f>INDEX(RateTables!$B$13:$B$16,MATCH(Policies!C169,RateTables!$A$13:$A$16,0))</f>
        <v/>
      </c>
      <c r="J169">
        <f>INDEX(RateTables!$C$13:$C$16,MATCH(Policies!C169,RateTables!$A$13:$A$16,0))</f>
        <v/>
      </c>
      <c r="K169">
        <f>INDEX(RateTables!$B$19:$C$28,MATCH(Policies!D169,RateTables!$A$19:$A$28,0),IF(Policies!C169="Frame",1,2))</f>
        <v/>
      </c>
      <c r="L169">
        <f>VLOOKUP(B169,AgeBands,2,TRUE)</f>
        <v/>
      </c>
      <c r="M169">
        <f>VLOOKUP(C169,RoofBands,2,TRUE)</f>
        <v/>
      </c>
      <c r="N169">
        <f>VLOOKUP(Policies!G169,AOIBands,2,TRUE)</f>
        <v/>
      </c>
      <c r="O169">
        <f>VLOOKUP(Policies!H169,RateTables!$A$31:$B$35,2,TRUE)</f>
        <v/>
      </c>
      <c r="P169">
        <f>VLOOKUP(MIN(Policies!L169,3),ClaimsTable,2,FALSE)</f>
        <v/>
      </c>
      <c r="Q169">
        <f>ROUND(H169*I169*K169*L169*M169*N169*O169*P169,2)</f>
        <v/>
      </c>
      <c r="R169">
        <f>IF(Policies!J169="Y",1,0)</f>
        <v/>
      </c>
      <c r="S169">
        <f>IF(AND(Policies!L169=0,B169&gt;=3),1,0)</f>
        <v/>
      </c>
      <c r="T169">
        <f>IF(B169&lt;=5,1,0)</f>
        <v/>
      </c>
      <c r="U169">
        <f>IF(Policies!K169="Basic",1,0)</f>
        <v/>
      </c>
      <c r="V169">
        <f>IF(Policies!K169="Fortified",1,0)</f>
        <v/>
      </c>
      <c r="W169">
        <f>SUMPRODUCT(R169:V169,CreditPcts)</f>
        <v/>
      </c>
      <c r="X169">
        <f>MIN(W169,CreditCap)</f>
        <v/>
      </c>
      <c r="Y169">
        <f>ROUND(Q169*(1-X169),2)</f>
        <v/>
      </c>
      <c r="Z169">
        <f>IF(Policies!I169="",0.02,Policies!I169)</f>
        <v/>
      </c>
      <c r="AA169">
        <f>IFERROR(VLOOKUP(Z169,HurrDedTable,2,FALSE),1)</f>
        <v/>
      </c>
      <c r="AB169">
        <f>IFERROR(INDEX(RateTables!$L$31:$L$33,MATCH(Policies!K169,RateTables!$K$31:$K$33,0)),1)</f>
        <v/>
      </c>
      <c r="AC169">
        <f>ROUND(F169*D169*J169*AA169*AB169,2)</f>
        <v/>
      </c>
      <c r="AD169">
        <f>MIN(AC169,Policies!G169*HurrCapPct)</f>
        <v/>
      </c>
      <c r="AE169">
        <f>Y169+AD169</f>
        <v/>
      </c>
      <c r="AF169" s="1">
        <f>EDATE(Policies!M169,Policies!N169)</f>
        <v/>
      </c>
      <c r="AG169">
        <f>ROUND(YEARFRAC(Policies!M169,AF169,3),4)</f>
        <v/>
      </c>
      <c r="AH169">
        <f>ROUND(AE169*AG169,2)</f>
        <v/>
      </c>
      <c r="AI169">
        <f>MAX(AH169,MinPremium)</f>
        <v/>
      </c>
      <c r="AJ169">
        <f>ROUNDUP(AI169,0)</f>
        <v/>
      </c>
      <c r="AK169">
        <f>VLOOKUP(Policies!N169,FeeTable,2,FALSE)</f>
        <v/>
      </c>
      <c r="AL169">
        <f>ROUND(AJ169*AssessRate,2)</f>
        <v/>
      </c>
      <c r="AM169">
        <f>ROUND((AJ169+AK169)*G169,2)</f>
        <v/>
      </c>
      <c r="AN169">
        <f>AJ169+AK169+AL169+AM169</f>
        <v/>
      </c>
      <c r="AO169">
        <f>IF(OR(Policies!G169&gt;1000000,C169&gt;20,Policies!L169&gt;=3),"REFER","OK")</f>
        <v/>
      </c>
      <c r="AP169">
        <f>ROUND(AH169/D169,3)</f>
        <v/>
      </c>
      <c r="AQ169">
        <f>Policies!B169&amp;"-"&amp;LEFT(Policies!C169,1)&amp;TEXT(Policies!D169,"00")</f>
        <v/>
      </c>
    </row>
    <row r="170">
      <c r="A170">
        <f>Policies!A170</f>
        <v/>
      </c>
      <c r="B170">
        <f>IFERROR(DATEDIF(DATE(Policies!E170,1,1),Policies!M170,"y"),0)</f>
        <v/>
      </c>
      <c r="C170">
        <f>Policies!F170*1</f>
        <v/>
      </c>
      <c r="D170">
        <f>Policies!G170/1000</f>
        <v/>
      </c>
      <c r="E170">
        <f>VLOOKUP(Policies!B170,BaseRates,2,FALSE)</f>
        <v/>
      </c>
      <c r="F170">
        <f>VLOOKUP(Policies!B170,BaseRates,3,FALSE)</f>
        <v/>
      </c>
      <c r="G170">
        <f>VLOOKUP(Policies!B170,BaseRates,4,FALSE)</f>
        <v/>
      </c>
      <c r="H170">
        <f>ROUND(E170*D170,2)</f>
        <v/>
      </c>
      <c r="I170">
        <f>INDEX(RateTables!$B$13:$B$16,MATCH(Policies!C170,RateTables!$A$13:$A$16,0))</f>
        <v/>
      </c>
      <c r="J170">
        <f>INDEX(RateTables!$C$13:$C$16,MATCH(Policies!C170,RateTables!$A$13:$A$16,0))</f>
        <v/>
      </c>
      <c r="K170">
        <f>INDEX(RateTables!$B$19:$C$28,MATCH(Policies!D170,RateTables!$A$19:$A$28,0),IF(Policies!C170="Frame",1,2))</f>
        <v/>
      </c>
      <c r="L170">
        <f>VLOOKUP(B170,AgeBands,2,TRUE)</f>
        <v/>
      </c>
      <c r="M170">
        <f>VLOOKUP(C170,RoofBands,2,TRUE)</f>
        <v/>
      </c>
      <c r="N170">
        <f>VLOOKUP(Policies!G170,AOIBands,2,TRUE)</f>
        <v/>
      </c>
      <c r="O170">
        <f>VLOOKUP(Policies!H170,RateTables!$A$31:$B$35,2,TRUE)</f>
        <v/>
      </c>
      <c r="P170">
        <f>VLOOKUP(MIN(Policies!L170,3),ClaimsTable,2,FALSE)</f>
        <v/>
      </c>
      <c r="Q170">
        <f>ROUND(H170*I170*K170*L170*M170*N170*O170*P170,2)</f>
        <v/>
      </c>
      <c r="R170">
        <f>IF(Policies!J170="Y",1,0)</f>
        <v/>
      </c>
      <c r="S170">
        <f>IF(AND(Policies!L170=0,B170&gt;=3),1,0)</f>
        <v/>
      </c>
      <c r="T170">
        <f>IF(B170&lt;=5,1,0)</f>
        <v/>
      </c>
      <c r="U170">
        <f>IF(Policies!K170="Basic",1,0)</f>
        <v/>
      </c>
      <c r="V170">
        <f>IF(Policies!K170="Fortified",1,0)</f>
        <v/>
      </c>
      <c r="W170">
        <f>SUMPRODUCT(R170:V170,CreditPcts)</f>
        <v/>
      </c>
      <c r="X170">
        <f>MIN(W170,CreditCap)</f>
        <v/>
      </c>
      <c r="Y170">
        <f>ROUND(Q170*(1-X170),2)</f>
        <v/>
      </c>
      <c r="Z170">
        <f>IF(Policies!I170="",0.02,Policies!I170)</f>
        <v/>
      </c>
      <c r="AA170">
        <f>IFERROR(VLOOKUP(Z170,HurrDedTable,2,FALSE),1)</f>
        <v/>
      </c>
      <c r="AB170">
        <f>IFERROR(INDEX(RateTables!$L$31:$L$33,MATCH(Policies!K170,RateTables!$K$31:$K$33,0)),1)</f>
        <v/>
      </c>
      <c r="AC170">
        <f>ROUND(F170*D170*J170*AA170*AB170,2)</f>
        <v/>
      </c>
      <c r="AD170">
        <f>MIN(AC170,Policies!G170*HurrCapPct)</f>
        <v/>
      </c>
      <c r="AE170">
        <f>Y170+AD170</f>
        <v/>
      </c>
      <c r="AF170" s="1">
        <f>EDATE(Policies!M170,Policies!N170)</f>
        <v/>
      </c>
      <c r="AG170">
        <f>ROUND(YEARFRAC(Policies!M170,AF170,3),4)</f>
        <v/>
      </c>
      <c r="AH170">
        <f>ROUND(AE170*AG170,2)</f>
        <v/>
      </c>
      <c r="AI170">
        <f>MAX(AH170,MinPremium)</f>
        <v/>
      </c>
      <c r="AJ170">
        <f>ROUNDUP(AI170,0)</f>
        <v/>
      </c>
      <c r="AK170">
        <f>VLOOKUP(Policies!N170,FeeTable,2,FALSE)</f>
        <v/>
      </c>
      <c r="AL170">
        <f>ROUND(AJ170*AssessRate,2)</f>
        <v/>
      </c>
      <c r="AM170">
        <f>ROUND((AJ170+AK170)*G170,2)</f>
        <v/>
      </c>
      <c r="AN170">
        <f>AJ170+AK170+AL170+AM170</f>
        <v/>
      </c>
      <c r="AO170">
        <f>IF(OR(Policies!G170&gt;1000000,C170&gt;20,Policies!L170&gt;=3),"REFER","OK")</f>
        <v/>
      </c>
      <c r="AP170">
        <f>ROUND(AH170/D170,3)</f>
        <v/>
      </c>
      <c r="AQ170">
        <f>Policies!B170&amp;"-"&amp;LEFT(Policies!C170,1)&amp;TEXT(Policies!D170,"00")</f>
        <v/>
      </c>
    </row>
    <row r="171">
      <c r="A171">
        <f>Policies!A171</f>
        <v/>
      </c>
      <c r="B171">
        <f>IFERROR(DATEDIF(DATE(Policies!E171,1,1),Policies!M171,"y"),0)</f>
        <v/>
      </c>
      <c r="C171">
        <f>Policies!F171*1</f>
        <v/>
      </c>
      <c r="D171">
        <f>Policies!G171/1000</f>
        <v/>
      </c>
      <c r="E171">
        <f>VLOOKUP(Policies!B171,BaseRates,2,FALSE)</f>
        <v/>
      </c>
      <c r="F171">
        <f>VLOOKUP(Policies!B171,BaseRates,3,FALSE)</f>
        <v/>
      </c>
      <c r="G171">
        <f>VLOOKUP(Policies!B171,BaseRates,4,FALSE)</f>
        <v/>
      </c>
      <c r="H171">
        <f>ROUND(E171*D171,2)</f>
        <v/>
      </c>
      <c r="I171">
        <f>INDEX(RateTables!$B$13:$B$16,MATCH(Policies!C171,RateTables!$A$13:$A$16,0))</f>
        <v/>
      </c>
      <c r="J171">
        <f>INDEX(RateTables!$C$13:$C$16,MATCH(Policies!C171,RateTables!$A$13:$A$16,0))</f>
        <v/>
      </c>
      <c r="K171">
        <f>INDEX(RateTables!$B$19:$C$28,MATCH(Policies!D171,RateTables!$A$19:$A$28,0),IF(Policies!C171="Frame",1,2))</f>
        <v/>
      </c>
      <c r="L171">
        <f>VLOOKUP(B171,AgeBands,2,TRUE)</f>
        <v/>
      </c>
      <c r="M171">
        <f>VLOOKUP(C171,RoofBands,2,TRUE)</f>
        <v/>
      </c>
      <c r="N171">
        <f>VLOOKUP(Policies!G171,AOIBands,2,TRUE)</f>
        <v/>
      </c>
      <c r="O171">
        <f>VLOOKUP(Policies!H171,RateTables!$A$31:$B$35,2,TRUE)</f>
        <v/>
      </c>
      <c r="P171">
        <f>VLOOKUP(MIN(Policies!L171,3),ClaimsTable,2,FALSE)</f>
        <v/>
      </c>
      <c r="Q171">
        <f>ROUND(H171*I171*K171*L171*M171*N171*O171*P171,2)</f>
        <v/>
      </c>
      <c r="R171">
        <f>IF(Policies!J171="Y",1,0)</f>
        <v/>
      </c>
      <c r="S171">
        <f>IF(AND(Policies!L171=0,B171&gt;=3),1,0)</f>
        <v/>
      </c>
      <c r="T171">
        <f>IF(B171&lt;=5,1,0)</f>
        <v/>
      </c>
      <c r="U171">
        <f>IF(Policies!K171="Basic",1,0)</f>
        <v/>
      </c>
      <c r="V171">
        <f>IF(Policies!K171="Fortified",1,0)</f>
        <v/>
      </c>
      <c r="W171">
        <f>SUMPRODUCT(R171:V171,CreditPcts)</f>
        <v/>
      </c>
      <c r="X171">
        <f>MIN(W171,CreditCap)</f>
        <v/>
      </c>
      <c r="Y171">
        <f>ROUND(Q171*(1-X171),2)</f>
        <v/>
      </c>
      <c r="Z171">
        <f>IF(Policies!I171="",0.02,Policies!I171)</f>
        <v/>
      </c>
      <c r="AA171">
        <f>IFERROR(VLOOKUP(Z171,HurrDedTable,2,FALSE),1)</f>
        <v/>
      </c>
      <c r="AB171">
        <f>IFERROR(INDEX(RateTables!$L$31:$L$33,MATCH(Policies!K171,RateTables!$K$31:$K$33,0)),1)</f>
        <v/>
      </c>
      <c r="AC171">
        <f>ROUND(F171*D171*J171*AA171*AB171,2)</f>
        <v/>
      </c>
      <c r="AD171">
        <f>MIN(AC171,Policies!G171*HurrCapPct)</f>
        <v/>
      </c>
      <c r="AE171">
        <f>Y171+AD171</f>
        <v/>
      </c>
      <c r="AF171" s="1">
        <f>EDATE(Policies!M171,Policies!N171)</f>
        <v/>
      </c>
      <c r="AG171">
        <f>ROUND(YEARFRAC(Policies!M171,AF171,3),4)</f>
        <v/>
      </c>
      <c r="AH171">
        <f>ROUND(AE171*AG171,2)</f>
        <v/>
      </c>
      <c r="AI171">
        <f>MAX(AH171,MinPremium)</f>
        <v/>
      </c>
      <c r="AJ171">
        <f>ROUNDUP(AI171,0)</f>
        <v/>
      </c>
      <c r="AK171">
        <f>VLOOKUP(Policies!N171,FeeTable,2,FALSE)</f>
        <v/>
      </c>
      <c r="AL171">
        <f>ROUND(AJ171*AssessRate,2)</f>
        <v/>
      </c>
      <c r="AM171">
        <f>ROUND((AJ171+AK171)*G171,2)</f>
        <v/>
      </c>
      <c r="AN171">
        <f>AJ171+AK171+AL171+AM171</f>
        <v/>
      </c>
      <c r="AO171">
        <f>IF(OR(Policies!G171&gt;1000000,C171&gt;20,Policies!L171&gt;=3),"REFER","OK")</f>
        <v/>
      </c>
      <c r="AP171">
        <f>ROUND(AH171/D171,3)</f>
        <v/>
      </c>
      <c r="AQ171">
        <f>Policies!B171&amp;"-"&amp;LEFT(Policies!C171,1)&amp;TEXT(Policies!D171,"00")</f>
        <v/>
      </c>
    </row>
    <row r="172">
      <c r="A172">
        <f>Policies!A172</f>
        <v/>
      </c>
      <c r="B172">
        <f>IFERROR(DATEDIF(DATE(Policies!E172,1,1),Policies!M172,"y"),0)</f>
        <v/>
      </c>
      <c r="C172">
        <f>Policies!F172*1</f>
        <v/>
      </c>
      <c r="D172">
        <f>Policies!G172/1000</f>
        <v/>
      </c>
      <c r="E172">
        <f>VLOOKUP(Policies!B172,BaseRates,2,FALSE)</f>
        <v/>
      </c>
      <c r="F172">
        <f>VLOOKUP(Policies!B172,BaseRates,3,FALSE)</f>
        <v/>
      </c>
      <c r="G172">
        <f>VLOOKUP(Policies!B172,BaseRates,4,FALSE)</f>
        <v/>
      </c>
      <c r="H172">
        <f>ROUND(E172*D172,2)</f>
        <v/>
      </c>
      <c r="I172">
        <f>INDEX(RateTables!$B$13:$B$16,MATCH(Policies!C172,RateTables!$A$13:$A$16,0))</f>
        <v/>
      </c>
      <c r="J172">
        <f>INDEX(RateTables!$C$13:$C$16,MATCH(Policies!C172,RateTables!$A$13:$A$16,0))</f>
        <v/>
      </c>
      <c r="K172">
        <f>INDEX(RateTables!$B$19:$C$28,MATCH(Policies!D172,RateTables!$A$19:$A$28,0),IF(Policies!C172="Frame",1,2))</f>
        <v/>
      </c>
      <c r="L172">
        <f>VLOOKUP(B172,AgeBands,2,TRUE)</f>
        <v/>
      </c>
      <c r="M172">
        <f>VLOOKUP(C172,RoofBands,2,TRUE)</f>
        <v/>
      </c>
      <c r="N172">
        <f>VLOOKUP(Policies!G172,AOIBands,2,TRUE)</f>
        <v/>
      </c>
      <c r="O172">
        <f>VLOOKUP(Policies!H172,RateTables!$A$31:$B$35,2,TRUE)</f>
        <v/>
      </c>
      <c r="P172">
        <f>VLOOKUP(MIN(Policies!L172,3),ClaimsTable,2,FALSE)</f>
        <v/>
      </c>
      <c r="Q172">
        <f>ROUND(H172*I172*K172*L172*M172*N172*O172*P172,2)</f>
        <v/>
      </c>
      <c r="R172">
        <f>IF(Policies!J172="Y",1,0)</f>
        <v/>
      </c>
      <c r="S172">
        <f>IF(AND(Policies!L172=0,B172&gt;=3),1,0)</f>
        <v/>
      </c>
      <c r="T172">
        <f>IF(B172&lt;=5,1,0)</f>
        <v/>
      </c>
      <c r="U172">
        <f>IF(Policies!K172="Basic",1,0)</f>
        <v/>
      </c>
      <c r="V172">
        <f>IF(Policies!K172="Fortified",1,0)</f>
        <v/>
      </c>
      <c r="W172">
        <f>SUMPRODUCT(R172:V172,CreditPcts)</f>
        <v/>
      </c>
      <c r="X172">
        <f>MIN(W172,CreditCap)</f>
        <v/>
      </c>
      <c r="Y172">
        <f>ROUND(Q172*(1-X172),2)</f>
        <v/>
      </c>
      <c r="Z172">
        <f>IF(Policies!I172="",0.02,Policies!I172)</f>
        <v/>
      </c>
      <c r="AA172">
        <f>IFERROR(VLOOKUP(Z172,HurrDedTable,2,FALSE),1)</f>
        <v/>
      </c>
      <c r="AB172">
        <f>IFERROR(INDEX(RateTables!$L$31:$L$33,MATCH(Policies!K172,RateTables!$K$31:$K$33,0)),1)</f>
        <v/>
      </c>
      <c r="AC172">
        <f>ROUND(F172*D172*J172*AA172*AB172,2)</f>
        <v/>
      </c>
      <c r="AD172">
        <f>MIN(AC172,Policies!G172*HurrCapPct)</f>
        <v/>
      </c>
      <c r="AE172">
        <f>Y172+AD172</f>
        <v/>
      </c>
      <c r="AF172" s="1">
        <f>EDATE(Policies!M172,Policies!N172)</f>
        <v/>
      </c>
      <c r="AG172">
        <f>ROUND(YEARFRAC(Policies!M172,AF172,3),4)</f>
        <v/>
      </c>
      <c r="AH172">
        <f>ROUND(AE172*AG172,2)</f>
        <v/>
      </c>
      <c r="AI172">
        <f>MAX(AH172,MinPremium)</f>
        <v/>
      </c>
      <c r="AJ172">
        <f>ROUNDUP(AI172,0)</f>
        <v/>
      </c>
      <c r="AK172">
        <f>VLOOKUP(Policies!N172,FeeTable,2,FALSE)</f>
        <v/>
      </c>
      <c r="AL172">
        <f>ROUND(AJ172*AssessRate,2)</f>
        <v/>
      </c>
      <c r="AM172">
        <f>ROUND((AJ172+AK172)*G172,2)</f>
        <v/>
      </c>
      <c r="AN172">
        <f>AJ172+AK172+AL172+AM172</f>
        <v/>
      </c>
      <c r="AO172">
        <f>IF(OR(Policies!G172&gt;1000000,C172&gt;20,Policies!L172&gt;=3),"REFER","OK")</f>
        <v/>
      </c>
      <c r="AP172">
        <f>ROUND(AH172/D172,3)</f>
        <v/>
      </c>
      <c r="AQ172">
        <f>Policies!B172&amp;"-"&amp;LEFT(Policies!C172,1)&amp;TEXT(Policies!D172,"00")</f>
        <v/>
      </c>
    </row>
    <row r="173">
      <c r="A173">
        <f>Policies!A173</f>
        <v/>
      </c>
      <c r="B173">
        <f>IFERROR(DATEDIF(DATE(Policies!E173,1,1),Policies!M173,"y"),0)</f>
        <v/>
      </c>
      <c r="C173">
        <f>Policies!F173*1</f>
        <v/>
      </c>
      <c r="D173">
        <f>Policies!G173/1000</f>
        <v/>
      </c>
      <c r="E173">
        <f>VLOOKUP(Policies!B173,BaseRates,2,FALSE)</f>
        <v/>
      </c>
      <c r="F173">
        <f>VLOOKUP(Policies!B173,BaseRates,3,FALSE)</f>
        <v/>
      </c>
      <c r="G173">
        <f>VLOOKUP(Policies!B173,BaseRates,4,FALSE)</f>
        <v/>
      </c>
      <c r="H173">
        <f>ROUND(E173*D173,2)</f>
        <v/>
      </c>
      <c r="I173">
        <f>INDEX(RateTables!$B$13:$B$16,MATCH(Policies!C173,RateTables!$A$13:$A$16,0))</f>
        <v/>
      </c>
      <c r="J173">
        <f>INDEX(RateTables!$C$13:$C$16,MATCH(Policies!C173,RateTables!$A$13:$A$16,0))</f>
        <v/>
      </c>
      <c r="K173">
        <f>INDEX(RateTables!$B$19:$C$28,MATCH(Policies!D173,RateTables!$A$19:$A$28,0),IF(Policies!C173="Frame",1,2))</f>
        <v/>
      </c>
      <c r="L173">
        <f>VLOOKUP(B173,AgeBands,2,TRUE)</f>
        <v/>
      </c>
      <c r="M173">
        <f>VLOOKUP(C173,RoofBands,2,TRUE)</f>
        <v/>
      </c>
      <c r="N173">
        <f>VLOOKUP(Policies!G173,AOIBands,2,TRUE)</f>
        <v/>
      </c>
      <c r="O173">
        <f>VLOOKUP(Policies!H173,RateTables!$A$31:$B$35,2,TRUE)</f>
        <v/>
      </c>
      <c r="P173">
        <f>VLOOKUP(MIN(Policies!L173,3),ClaimsTable,2,FALSE)</f>
        <v/>
      </c>
      <c r="Q173">
        <f>ROUND(H173*I173*K173*L173*M173*N173*O173*P173,2)</f>
        <v/>
      </c>
      <c r="R173">
        <f>IF(Policies!J173="Y",1,0)</f>
        <v/>
      </c>
      <c r="S173">
        <f>IF(AND(Policies!L173=0,B173&gt;=3),1,0)</f>
        <v/>
      </c>
      <c r="T173">
        <f>IF(B173&lt;=5,1,0)</f>
        <v/>
      </c>
      <c r="U173">
        <f>IF(Policies!K173="Basic",1,0)</f>
        <v/>
      </c>
      <c r="V173">
        <f>IF(Policies!K173="Fortified",1,0)</f>
        <v/>
      </c>
      <c r="W173">
        <f>SUMPRODUCT(R173:V173,CreditPcts)</f>
        <v/>
      </c>
      <c r="X173">
        <f>MIN(W173,CreditCap)</f>
        <v/>
      </c>
      <c r="Y173">
        <f>ROUND(Q173*(1-X173),2)</f>
        <v/>
      </c>
      <c r="Z173">
        <f>IF(Policies!I173="",0.02,Policies!I173)</f>
        <v/>
      </c>
      <c r="AA173">
        <f>IFERROR(VLOOKUP(Z173,HurrDedTable,2,FALSE),1)</f>
        <v/>
      </c>
      <c r="AB173">
        <f>IFERROR(INDEX(RateTables!$L$31:$L$33,MATCH(Policies!K173,RateTables!$K$31:$K$33,0)),1)</f>
        <v/>
      </c>
      <c r="AC173">
        <f>ROUND(F173*D173*J173*AA173*AB173,2)</f>
        <v/>
      </c>
      <c r="AD173">
        <f>MIN(AC173,Policies!G173*HurrCapPct)</f>
        <v/>
      </c>
      <c r="AE173">
        <f>Y173+AD173</f>
        <v/>
      </c>
      <c r="AF173" s="1">
        <f>EDATE(Policies!M173,Policies!N173)</f>
        <v/>
      </c>
      <c r="AG173">
        <f>ROUND(YEARFRAC(Policies!M173,AF173,3),4)</f>
        <v/>
      </c>
      <c r="AH173">
        <f>ROUND(AE173*AG173,2)</f>
        <v/>
      </c>
      <c r="AI173">
        <f>MAX(AH173,MinPremium)</f>
        <v/>
      </c>
      <c r="AJ173">
        <f>ROUNDUP(AI173,0)</f>
        <v/>
      </c>
      <c r="AK173">
        <f>VLOOKUP(Policies!N173,FeeTable,2,FALSE)</f>
        <v/>
      </c>
      <c r="AL173">
        <f>ROUND(AJ173*AssessRate,2)</f>
        <v/>
      </c>
      <c r="AM173">
        <f>ROUND((AJ173+AK173)*G173,2)</f>
        <v/>
      </c>
      <c r="AN173">
        <f>AJ173+AK173+AL173+AM173</f>
        <v/>
      </c>
      <c r="AO173">
        <f>IF(OR(Policies!G173&gt;1000000,C173&gt;20,Policies!L173&gt;=3),"REFER","OK")</f>
        <v/>
      </c>
      <c r="AP173">
        <f>ROUND(AH173/D173,3)</f>
        <v/>
      </c>
      <c r="AQ173">
        <f>Policies!B173&amp;"-"&amp;LEFT(Policies!C173,1)&amp;TEXT(Policies!D173,"00")</f>
        <v/>
      </c>
    </row>
    <row r="174">
      <c r="A174">
        <f>Policies!A174</f>
        <v/>
      </c>
      <c r="B174">
        <f>IFERROR(DATEDIF(DATE(Policies!E174,1,1),Policies!M174,"y"),0)</f>
        <v/>
      </c>
      <c r="C174">
        <f>Policies!F174*1</f>
        <v/>
      </c>
      <c r="D174">
        <f>Policies!G174/1000</f>
        <v/>
      </c>
      <c r="E174">
        <f>VLOOKUP(Policies!B174,BaseRates,2,FALSE)</f>
        <v/>
      </c>
      <c r="F174">
        <f>VLOOKUP(Policies!B174,BaseRates,3,FALSE)</f>
        <v/>
      </c>
      <c r="G174">
        <f>VLOOKUP(Policies!B174,BaseRates,4,FALSE)</f>
        <v/>
      </c>
      <c r="H174">
        <f>ROUND(E174*D174,2)</f>
        <v/>
      </c>
      <c r="I174">
        <f>INDEX(RateTables!$B$13:$B$16,MATCH(Policies!C174,RateTables!$A$13:$A$16,0))</f>
        <v/>
      </c>
      <c r="J174">
        <f>INDEX(RateTables!$C$13:$C$16,MATCH(Policies!C174,RateTables!$A$13:$A$16,0))</f>
        <v/>
      </c>
      <c r="K174">
        <f>INDEX(RateTables!$B$19:$C$28,MATCH(Policies!D174,RateTables!$A$19:$A$28,0),IF(Policies!C174="Frame",1,2))</f>
        <v/>
      </c>
      <c r="L174">
        <f>VLOOKUP(B174,AgeBands,2,TRUE)</f>
        <v/>
      </c>
      <c r="M174">
        <f>VLOOKUP(C174,RoofBands,2,TRUE)</f>
        <v/>
      </c>
      <c r="N174">
        <f>VLOOKUP(Policies!G174,AOIBands,2,TRUE)</f>
        <v/>
      </c>
      <c r="O174">
        <f>VLOOKUP(Policies!H174,RateTables!$A$31:$B$35,2,TRUE)</f>
        <v/>
      </c>
      <c r="P174">
        <f>VLOOKUP(MIN(Policies!L174,3),ClaimsTable,2,FALSE)</f>
        <v/>
      </c>
      <c r="Q174">
        <f>ROUND(H174*I174*K174*L174*M174*N174*O174*P174,2)</f>
        <v/>
      </c>
      <c r="R174">
        <f>IF(Policies!J174="Y",1,0)</f>
        <v/>
      </c>
      <c r="S174">
        <f>IF(AND(Policies!L174=0,B174&gt;=3),1,0)</f>
        <v/>
      </c>
      <c r="T174">
        <f>IF(B174&lt;=5,1,0)</f>
        <v/>
      </c>
      <c r="U174">
        <f>IF(Policies!K174="Basic",1,0)</f>
        <v/>
      </c>
      <c r="V174">
        <f>IF(Policies!K174="Fortified",1,0)</f>
        <v/>
      </c>
      <c r="W174">
        <f>SUMPRODUCT(R174:V174,CreditPcts)</f>
        <v/>
      </c>
      <c r="X174">
        <f>MIN(W174,CreditCap)</f>
        <v/>
      </c>
      <c r="Y174">
        <f>ROUND(Q174*(1-X174),2)</f>
        <v/>
      </c>
      <c r="Z174">
        <f>IF(Policies!I174="",0.02,Policies!I174)</f>
        <v/>
      </c>
      <c r="AA174">
        <f>IFERROR(VLOOKUP(Z174,HurrDedTable,2,FALSE),1)</f>
        <v/>
      </c>
      <c r="AB174">
        <f>IFERROR(INDEX(RateTables!$L$31:$L$33,MATCH(Policies!K174,RateTables!$K$31:$K$33,0)),1)</f>
        <v/>
      </c>
      <c r="AC174">
        <f>ROUND(F174*D174*J174*AA174*AB174,2)</f>
        <v/>
      </c>
      <c r="AD174">
        <f>MIN(AC174,Policies!G174*HurrCapPct)</f>
        <v/>
      </c>
      <c r="AE174">
        <f>Y174+AD174</f>
        <v/>
      </c>
      <c r="AF174" s="1">
        <f>EDATE(Policies!M174,Policies!N174)</f>
        <v/>
      </c>
      <c r="AG174">
        <f>ROUND(YEARFRAC(Policies!M174,AF174,3),4)</f>
        <v/>
      </c>
      <c r="AH174">
        <f>ROUND(AE174*AG174,2)</f>
        <v/>
      </c>
      <c r="AI174">
        <f>MAX(AH174,MinPremium)</f>
        <v/>
      </c>
      <c r="AJ174">
        <f>ROUNDUP(AI174,0)</f>
        <v/>
      </c>
      <c r="AK174">
        <f>VLOOKUP(Policies!N174,FeeTable,2,FALSE)</f>
        <v/>
      </c>
      <c r="AL174">
        <f>ROUND(AJ174*AssessRate,2)</f>
        <v/>
      </c>
      <c r="AM174">
        <f>ROUND((AJ174+AK174)*G174,2)</f>
        <v/>
      </c>
      <c r="AN174">
        <f>AJ174+AK174+AL174+AM174</f>
        <v/>
      </c>
      <c r="AO174">
        <f>IF(OR(Policies!G174&gt;1000000,C174&gt;20,Policies!L174&gt;=3),"REFER","OK")</f>
        <v/>
      </c>
      <c r="AP174">
        <f>ROUND(AH174/D174,3)</f>
        <v/>
      </c>
      <c r="AQ174">
        <f>Policies!B174&amp;"-"&amp;LEFT(Policies!C174,1)&amp;TEXT(Policies!D174,"00")</f>
        <v/>
      </c>
    </row>
    <row r="175">
      <c r="A175">
        <f>Policies!A175</f>
        <v/>
      </c>
      <c r="B175">
        <f>IFERROR(DATEDIF(DATE(Policies!E175,1,1),Policies!M175,"y"),0)</f>
        <v/>
      </c>
      <c r="C175">
        <f>Policies!F175*1</f>
        <v/>
      </c>
      <c r="D175">
        <f>Policies!G175/1000</f>
        <v/>
      </c>
      <c r="E175">
        <f>VLOOKUP(Policies!B175,BaseRates,2,FALSE)</f>
        <v/>
      </c>
      <c r="F175">
        <f>VLOOKUP(Policies!B175,BaseRates,3,FALSE)</f>
        <v/>
      </c>
      <c r="G175">
        <f>VLOOKUP(Policies!B175,BaseRates,4,FALSE)</f>
        <v/>
      </c>
      <c r="H175">
        <f>ROUND(E175*D175,2)</f>
        <v/>
      </c>
      <c r="I175">
        <f>INDEX(RateTables!$B$13:$B$16,MATCH(Policies!C175,RateTables!$A$13:$A$16,0))</f>
        <v/>
      </c>
      <c r="J175">
        <f>INDEX(RateTables!$C$13:$C$16,MATCH(Policies!C175,RateTables!$A$13:$A$16,0))</f>
        <v/>
      </c>
      <c r="K175">
        <f>INDEX(RateTables!$B$19:$C$28,MATCH(Policies!D175,RateTables!$A$19:$A$28,0),IF(Policies!C175="Frame",1,2))</f>
        <v/>
      </c>
      <c r="L175">
        <f>VLOOKUP(B175,AgeBands,2,TRUE)</f>
        <v/>
      </c>
      <c r="M175">
        <f>VLOOKUP(C175,RoofBands,2,TRUE)</f>
        <v/>
      </c>
      <c r="N175">
        <f>VLOOKUP(Policies!G175,AOIBands,2,TRUE)</f>
        <v/>
      </c>
      <c r="O175">
        <f>VLOOKUP(Policies!H175,RateTables!$A$31:$B$35,2,TRUE)</f>
        <v/>
      </c>
      <c r="P175">
        <f>VLOOKUP(MIN(Policies!L175,3),ClaimsTable,2,FALSE)</f>
        <v/>
      </c>
      <c r="Q175">
        <f>ROUND(H175*I175*K175*L175*M175*N175*O175*P175,2)</f>
        <v/>
      </c>
      <c r="R175">
        <f>IF(Policies!J175="Y",1,0)</f>
        <v/>
      </c>
      <c r="S175">
        <f>IF(AND(Policies!L175=0,B175&gt;=3),1,0)</f>
        <v/>
      </c>
      <c r="T175">
        <f>IF(B175&lt;=5,1,0)</f>
        <v/>
      </c>
      <c r="U175">
        <f>IF(Policies!K175="Basic",1,0)</f>
        <v/>
      </c>
      <c r="V175">
        <f>IF(Policies!K175="Fortified",1,0)</f>
        <v/>
      </c>
      <c r="W175">
        <f>SUMPRODUCT(R175:V175,CreditPcts)</f>
        <v/>
      </c>
      <c r="X175">
        <f>MIN(W175,CreditCap)</f>
        <v/>
      </c>
      <c r="Y175">
        <f>ROUND(Q175*(1-X175),2)</f>
        <v/>
      </c>
      <c r="Z175">
        <f>IF(Policies!I175="",0.02,Policies!I175)</f>
        <v/>
      </c>
      <c r="AA175">
        <f>IFERROR(VLOOKUP(Z175,HurrDedTable,2,FALSE),1)</f>
        <v/>
      </c>
      <c r="AB175">
        <f>IFERROR(INDEX(RateTables!$L$31:$L$33,MATCH(Policies!K175,RateTables!$K$31:$K$33,0)),1)</f>
        <v/>
      </c>
      <c r="AC175">
        <f>ROUND(F175*D175*J175*AA175*AB175,2)</f>
        <v/>
      </c>
      <c r="AD175">
        <f>MIN(AC175,Policies!G175*HurrCapPct)</f>
        <v/>
      </c>
      <c r="AE175">
        <f>Y175+AD175</f>
        <v/>
      </c>
      <c r="AF175" s="1">
        <f>EDATE(Policies!M175,Policies!N175)</f>
        <v/>
      </c>
      <c r="AG175">
        <f>ROUND(YEARFRAC(Policies!M175,AF175,3),4)</f>
        <v/>
      </c>
      <c r="AH175">
        <f>ROUND(AE175*AG175,2)</f>
        <v/>
      </c>
      <c r="AI175">
        <f>MAX(AH175,MinPremium)</f>
        <v/>
      </c>
      <c r="AJ175">
        <f>ROUNDUP(AI175,0)</f>
        <v/>
      </c>
      <c r="AK175">
        <f>VLOOKUP(Policies!N175,FeeTable,2,FALSE)</f>
        <v/>
      </c>
      <c r="AL175">
        <f>ROUND(AJ175*AssessRate,2)</f>
        <v/>
      </c>
      <c r="AM175">
        <f>ROUND((AJ175+AK175)*G175,2)</f>
        <v/>
      </c>
      <c r="AN175">
        <f>AJ175+AK175+AL175+AM175</f>
        <v/>
      </c>
      <c r="AO175">
        <f>IF(OR(Policies!G175&gt;1000000,C175&gt;20,Policies!L175&gt;=3),"REFER","OK")</f>
        <v/>
      </c>
      <c r="AP175">
        <f>ROUND(AH175/D175,3)</f>
        <v/>
      </c>
      <c r="AQ175">
        <f>Policies!B175&amp;"-"&amp;LEFT(Policies!C175,1)&amp;TEXT(Policies!D175,"00")</f>
        <v/>
      </c>
    </row>
    <row r="176">
      <c r="A176">
        <f>Policies!A176</f>
        <v/>
      </c>
      <c r="B176">
        <f>IFERROR(DATEDIF(DATE(Policies!E176,1,1),Policies!M176,"y"),0)</f>
        <v/>
      </c>
      <c r="C176">
        <f>Policies!F176*1</f>
        <v/>
      </c>
      <c r="D176">
        <f>Policies!G176/1000</f>
        <v/>
      </c>
      <c r="E176">
        <f>VLOOKUP(Policies!B176,BaseRates,2,FALSE)</f>
        <v/>
      </c>
      <c r="F176">
        <f>VLOOKUP(Policies!B176,BaseRates,3,FALSE)</f>
        <v/>
      </c>
      <c r="G176">
        <f>VLOOKUP(Policies!B176,BaseRates,4,FALSE)</f>
        <v/>
      </c>
      <c r="H176">
        <f>ROUND(E176*D176,2)</f>
        <v/>
      </c>
      <c r="I176">
        <f>INDEX(RateTables!$B$13:$B$16,MATCH(Policies!C176,RateTables!$A$13:$A$16,0))</f>
        <v/>
      </c>
      <c r="J176">
        <f>INDEX(RateTables!$C$13:$C$16,MATCH(Policies!C176,RateTables!$A$13:$A$16,0))</f>
        <v/>
      </c>
      <c r="K176">
        <f>INDEX(RateTables!$B$19:$C$28,MATCH(Policies!D176,RateTables!$A$19:$A$28,0),IF(Policies!C176="Frame",1,2))</f>
        <v/>
      </c>
      <c r="L176">
        <f>VLOOKUP(B176,AgeBands,2,TRUE)</f>
        <v/>
      </c>
      <c r="M176">
        <f>VLOOKUP(C176,RoofBands,2,TRUE)</f>
        <v/>
      </c>
      <c r="N176">
        <f>VLOOKUP(Policies!G176,AOIBands,2,TRUE)</f>
        <v/>
      </c>
      <c r="O176">
        <f>VLOOKUP(Policies!H176,RateTables!$A$31:$B$35,2,TRUE)</f>
        <v/>
      </c>
      <c r="P176">
        <f>VLOOKUP(MIN(Policies!L176,3),ClaimsTable,2,FALSE)</f>
        <v/>
      </c>
      <c r="Q176">
        <f>ROUND(H176*I176*K176*L176*M176*N176*O176*P176,2)</f>
        <v/>
      </c>
      <c r="R176">
        <f>IF(Policies!J176="Y",1,0)</f>
        <v/>
      </c>
      <c r="S176">
        <f>IF(AND(Policies!L176=0,B176&gt;=3),1,0)</f>
        <v/>
      </c>
      <c r="T176">
        <f>IF(B176&lt;=5,1,0)</f>
        <v/>
      </c>
      <c r="U176">
        <f>IF(Policies!K176="Basic",1,0)</f>
        <v/>
      </c>
      <c r="V176">
        <f>IF(Policies!K176="Fortified",1,0)</f>
        <v/>
      </c>
      <c r="W176">
        <f>SUMPRODUCT(R176:V176,CreditPcts)</f>
        <v/>
      </c>
      <c r="X176">
        <f>MIN(W176,CreditCap)</f>
        <v/>
      </c>
      <c r="Y176">
        <f>ROUND(Q176*(1-X176),2)</f>
        <v/>
      </c>
      <c r="Z176">
        <f>IF(Policies!I176="",0.02,Policies!I176)</f>
        <v/>
      </c>
      <c r="AA176">
        <f>IFERROR(VLOOKUP(Z176,HurrDedTable,2,FALSE),1)</f>
        <v/>
      </c>
      <c r="AB176">
        <f>IFERROR(INDEX(RateTables!$L$31:$L$33,MATCH(Policies!K176,RateTables!$K$31:$K$33,0)),1)</f>
        <v/>
      </c>
      <c r="AC176">
        <f>ROUND(F176*D176*J176*AA176*AB176,2)</f>
        <v/>
      </c>
      <c r="AD176">
        <f>MIN(AC176,Policies!G176*HurrCapPct)</f>
        <v/>
      </c>
      <c r="AE176">
        <f>Y176+AD176</f>
        <v/>
      </c>
      <c r="AF176" s="1">
        <f>EDATE(Policies!M176,Policies!N176)</f>
        <v/>
      </c>
      <c r="AG176">
        <f>ROUND(YEARFRAC(Policies!M176,AF176,3),4)</f>
        <v/>
      </c>
      <c r="AH176">
        <f>ROUND(AE176*AG176,2)</f>
        <v/>
      </c>
      <c r="AI176">
        <f>MAX(AH176,MinPremium)</f>
        <v/>
      </c>
      <c r="AJ176">
        <f>ROUNDUP(AI176,0)</f>
        <v/>
      </c>
      <c r="AK176">
        <f>VLOOKUP(Policies!N176,FeeTable,2,FALSE)</f>
        <v/>
      </c>
      <c r="AL176">
        <f>ROUND(AJ176*AssessRate,2)</f>
        <v/>
      </c>
      <c r="AM176">
        <f>ROUND((AJ176+AK176)*G176,2)</f>
        <v/>
      </c>
      <c r="AN176">
        <f>AJ176+AK176+AL176+AM176</f>
        <v/>
      </c>
      <c r="AO176">
        <f>IF(OR(Policies!G176&gt;1000000,C176&gt;20,Policies!L176&gt;=3),"REFER","OK")</f>
        <v/>
      </c>
      <c r="AP176">
        <f>ROUND(AH176/D176,3)</f>
        <v/>
      </c>
      <c r="AQ176">
        <f>Policies!B176&amp;"-"&amp;LEFT(Policies!C176,1)&amp;TEXT(Policies!D176,"00")</f>
        <v/>
      </c>
    </row>
    <row r="177">
      <c r="A177">
        <f>Policies!A177</f>
        <v/>
      </c>
      <c r="B177">
        <f>IFERROR(DATEDIF(DATE(Policies!E177,1,1),Policies!M177,"y"),0)</f>
        <v/>
      </c>
      <c r="C177">
        <f>Policies!F177*1</f>
        <v/>
      </c>
      <c r="D177">
        <f>Policies!G177/1000</f>
        <v/>
      </c>
      <c r="E177">
        <f>VLOOKUP(Policies!B177,BaseRates,2,FALSE)</f>
        <v/>
      </c>
      <c r="F177">
        <f>VLOOKUP(Policies!B177,BaseRates,3,FALSE)</f>
        <v/>
      </c>
      <c r="G177">
        <f>VLOOKUP(Policies!B177,BaseRates,4,FALSE)</f>
        <v/>
      </c>
      <c r="H177">
        <f>ROUND(E177*D177,2)</f>
        <v/>
      </c>
      <c r="I177">
        <f>INDEX(RateTables!$B$13:$B$16,MATCH(Policies!C177,RateTables!$A$13:$A$16,0))</f>
        <v/>
      </c>
      <c r="J177">
        <f>INDEX(RateTables!$C$13:$C$16,MATCH(Policies!C177,RateTables!$A$13:$A$16,0))</f>
        <v/>
      </c>
      <c r="K177">
        <f>INDEX(RateTables!$B$19:$C$28,MATCH(Policies!D177,RateTables!$A$19:$A$28,0),IF(Policies!C177="Frame",1,2))</f>
        <v/>
      </c>
      <c r="L177">
        <f>VLOOKUP(B177,AgeBands,2,TRUE)</f>
        <v/>
      </c>
      <c r="M177">
        <f>VLOOKUP(C177,RoofBands,2,TRUE)</f>
        <v/>
      </c>
      <c r="N177">
        <f>VLOOKUP(Policies!G177,AOIBands,2,TRUE)</f>
        <v/>
      </c>
      <c r="O177">
        <f>VLOOKUP(Policies!H177,RateTables!$A$31:$B$35,2,TRUE)</f>
        <v/>
      </c>
      <c r="P177">
        <f>VLOOKUP(MIN(Policies!L177,3),ClaimsTable,2,FALSE)</f>
        <v/>
      </c>
      <c r="Q177">
        <f>ROUND(H177*I177*K177*L177*M177*N177*O177*P177,2)</f>
        <v/>
      </c>
      <c r="R177">
        <f>IF(Policies!J177="Y",1,0)</f>
        <v/>
      </c>
      <c r="S177">
        <f>IF(AND(Policies!L177=0,B177&gt;=3),1,0)</f>
        <v/>
      </c>
      <c r="T177">
        <f>IF(B177&lt;=5,1,0)</f>
        <v/>
      </c>
      <c r="U177">
        <f>IF(Policies!K177="Basic",1,0)</f>
        <v/>
      </c>
      <c r="V177">
        <f>IF(Policies!K177="Fortified",1,0)</f>
        <v/>
      </c>
      <c r="W177">
        <f>SUMPRODUCT(R177:V177,CreditPcts)</f>
        <v/>
      </c>
      <c r="X177">
        <f>MIN(W177,CreditCap)</f>
        <v/>
      </c>
      <c r="Y177">
        <f>ROUND(Q177*(1-X177),2)</f>
        <v/>
      </c>
      <c r="Z177">
        <f>IF(Policies!I177="",0.02,Policies!I177)</f>
        <v/>
      </c>
      <c r="AA177">
        <f>IFERROR(VLOOKUP(Z177,HurrDedTable,2,FALSE),1)</f>
        <v/>
      </c>
      <c r="AB177">
        <f>IFERROR(INDEX(RateTables!$L$31:$L$33,MATCH(Policies!K177,RateTables!$K$31:$K$33,0)),1)</f>
        <v/>
      </c>
      <c r="AC177">
        <f>ROUND(F177*D177*J177*AA177*AB177,2)</f>
        <v/>
      </c>
      <c r="AD177">
        <f>MIN(AC177,Policies!G177*HurrCapPct)</f>
        <v/>
      </c>
      <c r="AE177">
        <f>Y177+AD177</f>
        <v/>
      </c>
      <c r="AF177" s="1">
        <f>EDATE(Policies!M177,Policies!N177)</f>
        <v/>
      </c>
      <c r="AG177">
        <f>ROUND(YEARFRAC(Policies!M177,AF177,3),4)</f>
        <v/>
      </c>
      <c r="AH177">
        <f>ROUND(AE177*AG177,2)</f>
        <v/>
      </c>
      <c r="AI177">
        <f>MAX(AH177,MinPremium)</f>
        <v/>
      </c>
      <c r="AJ177">
        <f>ROUNDUP(AI177,0)</f>
        <v/>
      </c>
      <c r="AK177">
        <f>VLOOKUP(Policies!N177,FeeTable,2,FALSE)</f>
        <v/>
      </c>
      <c r="AL177">
        <f>ROUND(AJ177*AssessRate,2)</f>
        <v/>
      </c>
      <c r="AM177">
        <f>ROUND((AJ177+AK177)*G177,2)</f>
        <v/>
      </c>
      <c r="AN177">
        <f>AJ177+AK177+AL177+AM177</f>
        <v/>
      </c>
      <c r="AO177">
        <f>IF(OR(Policies!G177&gt;1000000,C177&gt;20,Policies!L177&gt;=3),"REFER","OK")</f>
        <v/>
      </c>
      <c r="AP177">
        <f>ROUND(AH177/D177,3)</f>
        <v/>
      </c>
      <c r="AQ177">
        <f>Policies!B177&amp;"-"&amp;LEFT(Policies!C177,1)&amp;TEXT(Policies!D177,"00")</f>
        <v/>
      </c>
    </row>
    <row r="178">
      <c r="A178">
        <f>Policies!A178</f>
        <v/>
      </c>
      <c r="B178">
        <f>IFERROR(DATEDIF(DATE(Policies!E178,1,1),Policies!M178,"y"),0)</f>
        <v/>
      </c>
      <c r="C178">
        <f>Policies!F178*1</f>
        <v/>
      </c>
      <c r="D178">
        <f>Policies!G178/1000</f>
        <v/>
      </c>
      <c r="E178">
        <f>VLOOKUP(Policies!B178,BaseRates,2,FALSE)</f>
        <v/>
      </c>
      <c r="F178">
        <f>VLOOKUP(Policies!B178,BaseRates,3,FALSE)</f>
        <v/>
      </c>
      <c r="G178">
        <f>VLOOKUP(Policies!B178,BaseRates,4,FALSE)</f>
        <v/>
      </c>
      <c r="H178">
        <f>ROUND(E178*D178,2)</f>
        <v/>
      </c>
      <c r="I178">
        <f>INDEX(RateTables!$B$13:$B$16,MATCH(Policies!C178,RateTables!$A$13:$A$16,0))</f>
        <v/>
      </c>
      <c r="J178">
        <f>INDEX(RateTables!$C$13:$C$16,MATCH(Policies!C178,RateTables!$A$13:$A$16,0))</f>
        <v/>
      </c>
      <c r="K178">
        <f>INDEX(RateTables!$B$19:$C$28,MATCH(Policies!D178,RateTables!$A$19:$A$28,0),IF(Policies!C178="Frame",1,2))</f>
        <v/>
      </c>
      <c r="L178">
        <f>VLOOKUP(B178,AgeBands,2,TRUE)</f>
        <v/>
      </c>
      <c r="M178">
        <f>VLOOKUP(C178,RoofBands,2,TRUE)</f>
        <v/>
      </c>
      <c r="N178">
        <f>VLOOKUP(Policies!G178,AOIBands,2,TRUE)</f>
        <v/>
      </c>
      <c r="O178">
        <f>VLOOKUP(Policies!H178,RateTables!$A$31:$B$35,2,TRUE)</f>
        <v/>
      </c>
      <c r="P178">
        <f>VLOOKUP(MIN(Policies!L178,3),ClaimsTable,2,FALSE)</f>
        <v/>
      </c>
      <c r="Q178">
        <f>ROUND(H178*I178*K178*L178*M178*N178*O178*P178,2)</f>
        <v/>
      </c>
      <c r="R178">
        <f>IF(Policies!J178="Y",1,0)</f>
        <v/>
      </c>
      <c r="S178">
        <f>IF(AND(Policies!L178=0,B178&gt;=3),1,0)</f>
        <v/>
      </c>
      <c r="T178">
        <f>IF(B178&lt;=5,1,0)</f>
        <v/>
      </c>
      <c r="U178">
        <f>IF(Policies!K178="Basic",1,0)</f>
        <v/>
      </c>
      <c r="V178">
        <f>IF(Policies!K178="Fortified",1,0)</f>
        <v/>
      </c>
      <c r="W178">
        <f>SUMPRODUCT(R178:V178,CreditPcts)</f>
        <v/>
      </c>
      <c r="X178">
        <f>MIN(W178,CreditCap)</f>
        <v/>
      </c>
      <c r="Y178">
        <f>ROUND(Q178*(1-X178),2)</f>
        <v/>
      </c>
      <c r="Z178">
        <f>IF(Policies!I178="",0.02,Policies!I178)</f>
        <v/>
      </c>
      <c r="AA178">
        <f>IFERROR(VLOOKUP(Z178,HurrDedTable,2,FALSE),1)</f>
        <v/>
      </c>
      <c r="AB178">
        <f>IFERROR(INDEX(RateTables!$L$31:$L$33,MATCH(Policies!K178,RateTables!$K$31:$K$33,0)),1)</f>
        <v/>
      </c>
      <c r="AC178">
        <f>ROUND(F178*D178*J178*AA178*AB178,2)</f>
        <v/>
      </c>
      <c r="AD178">
        <f>MIN(AC178,Policies!G178*HurrCapPct)</f>
        <v/>
      </c>
      <c r="AE178">
        <f>Y178+AD178</f>
        <v/>
      </c>
      <c r="AF178" s="1">
        <f>EDATE(Policies!M178,Policies!N178)</f>
        <v/>
      </c>
      <c r="AG178">
        <f>ROUND(YEARFRAC(Policies!M178,AF178,3),4)</f>
        <v/>
      </c>
      <c r="AH178">
        <f>ROUND(AE178*AG178,2)</f>
        <v/>
      </c>
      <c r="AI178">
        <f>MAX(AH178,MinPremium)</f>
        <v/>
      </c>
      <c r="AJ178">
        <f>ROUNDUP(AI178,0)</f>
        <v/>
      </c>
      <c r="AK178">
        <f>VLOOKUP(Policies!N178,FeeTable,2,FALSE)</f>
        <v/>
      </c>
      <c r="AL178">
        <f>ROUND(AJ178*AssessRate,2)</f>
        <v/>
      </c>
      <c r="AM178">
        <f>ROUND((AJ178+AK178)*G178,2)</f>
        <v/>
      </c>
      <c r="AN178">
        <f>AJ178+AK178+AL178+AM178</f>
        <v/>
      </c>
      <c r="AO178">
        <f>IF(OR(Policies!G178&gt;1000000,C178&gt;20,Policies!L178&gt;=3),"REFER","OK")</f>
        <v/>
      </c>
      <c r="AP178">
        <f>ROUND(AH178/D178,3)</f>
        <v/>
      </c>
      <c r="AQ178">
        <f>Policies!B178&amp;"-"&amp;LEFT(Policies!C178,1)&amp;TEXT(Policies!D178,"00")</f>
        <v/>
      </c>
    </row>
    <row r="179">
      <c r="A179">
        <f>Policies!A179</f>
        <v/>
      </c>
      <c r="B179">
        <f>IFERROR(DATEDIF(DATE(Policies!E179,1,1),Policies!M179,"y"),0)</f>
        <v/>
      </c>
      <c r="C179">
        <f>Policies!F179*1</f>
        <v/>
      </c>
      <c r="D179">
        <f>Policies!G179/1000</f>
        <v/>
      </c>
      <c r="E179">
        <f>VLOOKUP(Policies!B179,BaseRates,2,FALSE)</f>
        <v/>
      </c>
      <c r="F179">
        <f>VLOOKUP(Policies!B179,BaseRates,3,FALSE)</f>
        <v/>
      </c>
      <c r="G179">
        <f>VLOOKUP(Policies!B179,BaseRates,4,FALSE)</f>
        <v/>
      </c>
      <c r="H179">
        <f>ROUND(E179*D179,2)</f>
        <v/>
      </c>
      <c r="I179">
        <f>INDEX(RateTables!$B$13:$B$16,MATCH(Policies!C179,RateTables!$A$13:$A$16,0))</f>
        <v/>
      </c>
      <c r="J179">
        <f>INDEX(RateTables!$C$13:$C$16,MATCH(Policies!C179,RateTables!$A$13:$A$16,0))</f>
        <v/>
      </c>
      <c r="K179">
        <f>INDEX(RateTables!$B$19:$C$28,MATCH(Policies!D179,RateTables!$A$19:$A$28,0),IF(Policies!C179="Frame",1,2))</f>
        <v/>
      </c>
      <c r="L179">
        <f>VLOOKUP(B179,AgeBands,2,TRUE)</f>
        <v/>
      </c>
      <c r="M179">
        <f>VLOOKUP(C179,RoofBands,2,TRUE)</f>
        <v/>
      </c>
      <c r="N179">
        <f>VLOOKUP(Policies!G179,AOIBands,2,TRUE)</f>
        <v/>
      </c>
      <c r="O179">
        <f>VLOOKUP(Policies!H179,RateTables!$A$31:$B$35,2,TRUE)</f>
        <v/>
      </c>
      <c r="P179">
        <f>VLOOKUP(MIN(Policies!L179,3),ClaimsTable,2,FALSE)</f>
        <v/>
      </c>
      <c r="Q179">
        <f>ROUND(H179*I179*K179*L179*M179*N179*O179*P179,2)</f>
        <v/>
      </c>
      <c r="R179">
        <f>IF(Policies!J179="Y",1,0)</f>
        <v/>
      </c>
      <c r="S179">
        <f>IF(AND(Policies!L179=0,B179&gt;=3),1,0)</f>
        <v/>
      </c>
      <c r="T179">
        <f>IF(B179&lt;=5,1,0)</f>
        <v/>
      </c>
      <c r="U179">
        <f>IF(Policies!K179="Basic",1,0)</f>
        <v/>
      </c>
      <c r="V179">
        <f>IF(Policies!K179="Fortified",1,0)</f>
        <v/>
      </c>
      <c r="W179">
        <f>SUMPRODUCT(R179:V179,CreditPcts)</f>
        <v/>
      </c>
      <c r="X179">
        <f>MIN(W179,CreditCap)</f>
        <v/>
      </c>
      <c r="Y179">
        <f>ROUND(Q179*(1-X179),2)</f>
        <v/>
      </c>
      <c r="Z179">
        <f>IF(Policies!I179="",0.02,Policies!I179)</f>
        <v/>
      </c>
      <c r="AA179">
        <f>IFERROR(VLOOKUP(Z179,HurrDedTable,2,FALSE),1)</f>
        <v/>
      </c>
      <c r="AB179">
        <f>IFERROR(INDEX(RateTables!$L$31:$L$33,MATCH(Policies!K179,RateTables!$K$31:$K$33,0)),1)</f>
        <v/>
      </c>
      <c r="AC179">
        <f>ROUND(F179*D179*J179*AA179*AB179,2)</f>
        <v/>
      </c>
      <c r="AD179">
        <f>MIN(AC179,Policies!G179*HurrCapPct)</f>
        <v/>
      </c>
      <c r="AE179">
        <f>Y179+AD179</f>
        <v/>
      </c>
      <c r="AF179" s="1">
        <f>EDATE(Policies!M179,Policies!N179)</f>
        <v/>
      </c>
      <c r="AG179">
        <f>ROUND(YEARFRAC(Policies!M179,AF179,3),4)</f>
        <v/>
      </c>
      <c r="AH179">
        <f>ROUND(AE179*AG179,2)</f>
        <v/>
      </c>
      <c r="AI179">
        <f>MAX(AH179,MinPremium)</f>
        <v/>
      </c>
      <c r="AJ179">
        <f>ROUNDUP(AI179,0)</f>
        <v/>
      </c>
      <c r="AK179">
        <f>VLOOKUP(Policies!N179,FeeTable,2,FALSE)</f>
        <v/>
      </c>
      <c r="AL179">
        <f>ROUND(AJ179*AssessRate,2)</f>
        <v/>
      </c>
      <c r="AM179">
        <f>ROUND((AJ179+AK179)*G179,2)</f>
        <v/>
      </c>
      <c r="AN179">
        <f>AJ179+AK179+AL179+AM179</f>
        <v/>
      </c>
      <c r="AO179">
        <f>IF(OR(Policies!G179&gt;1000000,C179&gt;20,Policies!L179&gt;=3),"REFER","OK")</f>
        <v/>
      </c>
      <c r="AP179">
        <f>ROUND(AH179/D179,3)</f>
        <v/>
      </c>
      <c r="AQ179">
        <f>Policies!B179&amp;"-"&amp;LEFT(Policies!C179,1)&amp;TEXT(Policies!D179,"00")</f>
        <v/>
      </c>
    </row>
    <row r="180">
      <c r="A180">
        <f>Policies!A180</f>
        <v/>
      </c>
      <c r="B180">
        <f>IFERROR(DATEDIF(DATE(Policies!E180,1,1),Policies!M180,"y"),0)</f>
        <v/>
      </c>
      <c r="C180">
        <f>Policies!F180*1</f>
        <v/>
      </c>
      <c r="D180">
        <f>Policies!G180/1000</f>
        <v/>
      </c>
      <c r="E180">
        <f>VLOOKUP(Policies!B180,BaseRates,2,FALSE)</f>
        <v/>
      </c>
      <c r="F180">
        <f>VLOOKUP(Policies!B180,BaseRates,3,FALSE)</f>
        <v/>
      </c>
      <c r="G180">
        <f>VLOOKUP(Policies!B180,BaseRates,4,FALSE)</f>
        <v/>
      </c>
      <c r="H180">
        <f>ROUND(E180*D180,2)</f>
        <v/>
      </c>
      <c r="I180">
        <f>INDEX(RateTables!$B$13:$B$16,MATCH(Policies!C180,RateTables!$A$13:$A$16,0))</f>
        <v/>
      </c>
      <c r="J180">
        <f>INDEX(RateTables!$C$13:$C$16,MATCH(Policies!C180,RateTables!$A$13:$A$16,0))</f>
        <v/>
      </c>
      <c r="K180">
        <f>INDEX(RateTables!$B$19:$C$28,MATCH(Policies!D180,RateTables!$A$19:$A$28,0),IF(Policies!C180="Frame",1,2))</f>
        <v/>
      </c>
      <c r="L180">
        <f>VLOOKUP(B180,AgeBands,2,TRUE)</f>
        <v/>
      </c>
      <c r="M180">
        <f>VLOOKUP(C180,RoofBands,2,TRUE)</f>
        <v/>
      </c>
      <c r="N180">
        <f>VLOOKUP(Policies!G180,AOIBands,2,TRUE)</f>
        <v/>
      </c>
      <c r="O180">
        <f>VLOOKUP(Policies!H180,RateTables!$A$31:$B$35,2,TRUE)</f>
        <v/>
      </c>
      <c r="P180">
        <f>VLOOKUP(MIN(Policies!L180,3),ClaimsTable,2,FALSE)</f>
        <v/>
      </c>
      <c r="Q180">
        <f>ROUND(H180*I180*K180*L180*M180*N180*O180*P180,2)</f>
        <v/>
      </c>
      <c r="R180">
        <f>IF(Policies!J180="Y",1,0)</f>
        <v/>
      </c>
      <c r="S180">
        <f>IF(AND(Policies!L180=0,B180&gt;=3),1,0)</f>
        <v/>
      </c>
      <c r="T180">
        <f>IF(B180&lt;=5,1,0)</f>
        <v/>
      </c>
      <c r="U180">
        <f>IF(Policies!K180="Basic",1,0)</f>
        <v/>
      </c>
      <c r="V180">
        <f>IF(Policies!K180="Fortified",1,0)</f>
        <v/>
      </c>
      <c r="W180">
        <f>SUMPRODUCT(R180:V180,CreditPcts)</f>
        <v/>
      </c>
      <c r="X180">
        <f>MIN(W180,CreditCap)</f>
        <v/>
      </c>
      <c r="Y180">
        <f>ROUND(Q180*(1-X180),2)</f>
        <v/>
      </c>
      <c r="Z180">
        <f>IF(Policies!I180="",0.02,Policies!I180)</f>
        <v/>
      </c>
      <c r="AA180">
        <f>IFERROR(VLOOKUP(Z180,HurrDedTable,2,FALSE),1)</f>
        <v/>
      </c>
      <c r="AB180">
        <f>IFERROR(INDEX(RateTables!$L$31:$L$33,MATCH(Policies!K180,RateTables!$K$31:$K$33,0)),1)</f>
        <v/>
      </c>
      <c r="AC180">
        <f>ROUND(F180*D180*J180*AA180*AB180,2)</f>
        <v/>
      </c>
      <c r="AD180">
        <f>MIN(AC180,Policies!G180*HurrCapPct)</f>
        <v/>
      </c>
      <c r="AE180">
        <f>Y180+AD180</f>
        <v/>
      </c>
      <c r="AF180" s="1">
        <f>EDATE(Policies!M180,Policies!N180)</f>
        <v/>
      </c>
      <c r="AG180">
        <f>ROUND(YEARFRAC(Policies!M180,AF180,3),4)</f>
        <v/>
      </c>
      <c r="AH180">
        <f>ROUND(AE180*AG180,2)</f>
        <v/>
      </c>
      <c r="AI180">
        <f>MAX(AH180,MinPremium)</f>
        <v/>
      </c>
      <c r="AJ180">
        <f>ROUNDUP(AI180,0)</f>
        <v/>
      </c>
      <c r="AK180">
        <f>VLOOKUP(Policies!N180,FeeTable,2,FALSE)</f>
        <v/>
      </c>
      <c r="AL180">
        <f>ROUND(AJ180*AssessRate,2)</f>
        <v/>
      </c>
      <c r="AM180">
        <f>ROUND((AJ180+AK180)*G180,2)</f>
        <v/>
      </c>
      <c r="AN180">
        <f>AJ180+AK180+AL180+AM180</f>
        <v/>
      </c>
      <c r="AO180">
        <f>IF(OR(Policies!G180&gt;1000000,C180&gt;20,Policies!L180&gt;=3),"REFER","OK")</f>
        <v/>
      </c>
      <c r="AP180">
        <f>ROUND(AH180/D180,3)</f>
        <v/>
      </c>
      <c r="AQ180">
        <f>Policies!B180&amp;"-"&amp;LEFT(Policies!C180,1)&amp;TEXT(Policies!D180,"00")</f>
        <v/>
      </c>
    </row>
    <row r="181">
      <c r="A181">
        <f>Policies!A181</f>
        <v/>
      </c>
      <c r="B181">
        <f>IFERROR(DATEDIF(DATE(Policies!E181,1,1),Policies!M181,"y"),0)</f>
        <v/>
      </c>
      <c r="C181">
        <f>Policies!F181*1</f>
        <v/>
      </c>
      <c r="D181">
        <f>Policies!G181/1000</f>
        <v/>
      </c>
      <c r="E181">
        <f>VLOOKUP(Policies!B181,BaseRates,2,FALSE)</f>
        <v/>
      </c>
      <c r="F181">
        <f>VLOOKUP(Policies!B181,BaseRates,3,FALSE)</f>
        <v/>
      </c>
      <c r="G181">
        <f>VLOOKUP(Policies!B181,BaseRates,4,FALSE)</f>
        <v/>
      </c>
      <c r="H181">
        <f>ROUND(E181*D181,2)</f>
        <v/>
      </c>
      <c r="I181">
        <f>INDEX(RateTables!$B$13:$B$16,MATCH(Policies!C181,RateTables!$A$13:$A$16,0))</f>
        <v/>
      </c>
      <c r="J181">
        <f>INDEX(RateTables!$C$13:$C$16,MATCH(Policies!C181,RateTables!$A$13:$A$16,0))</f>
        <v/>
      </c>
      <c r="K181">
        <f>INDEX(RateTables!$B$19:$C$28,MATCH(Policies!D181,RateTables!$A$19:$A$28,0),IF(Policies!C181="Frame",1,2))</f>
        <v/>
      </c>
      <c r="L181">
        <f>VLOOKUP(B181,AgeBands,2,TRUE)</f>
        <v/>
      </c>
      <c r="M181">
        <f>VLOOKUP(C181,RoofBands,2,TRUE)</f>
        <v/>
      </c>
      <c r="N181">
        <f>VLOOKUP(Policies!G181,AOIBands,2,TRUE)</f>
        <v/>
      </c>
      <c r="O181">
        <f>VLOOKUP(Policies!H181,RateTables!$A$31:$B$35,2,TRUE)</f>
        <v/>
      </c>
      <c r="P181">
        <f>VLOOKUP(MIN(Policies!L181,3),ClaimsTable,2,FALSE)</f>
        <v/>
      </c>
      <c r="Q181">
        <f>ROUND(H181*I181*K181*L181*M181*N181*O181*P181,2)</f>
        <v/>
      </c>
      <c r="R181">
        <f>IF(Policies!J181="Y",1,0)</f>
        <v/>
      </c>
      <c r="S181">
        <f>IF(AND(Policies!L181=0,B181&gt;=3),1,0)</f>
        <v/>
      </c>
      <c r="T181">
        <f>IF(B181&lt;=5,1,0)</f>
        <v/>
      </c>
      <c r="U181">
        <f>IF(Policies!K181="Basic",1,0)</f>
        <v/>
      </c>
      <c r="V181">
        <f>IF(Policies!K181="Fortified",1,0)</f>
        <v/>
      </c>
      <c r="W181">
        <f>SUMPRODUCT(R181:V181,CreditPcts)</f>
        <v/>
      </c>
      <c r="X181">
        <f>MIN(W181,CreditCap)</f>
        <v/>
      </c>
      <c r="Y181">
        <f>ROUND(Q181*(1-X181),2)</f>
        <v/>
      </c>
      <c r="Z181">
        <f>IF(Policies!I181="",0.02,Policies!I181)</f>
        <v/>
      </c>
      <c r="AA181">
        <f>IFERROR(VLOOKUP(Z181,HurrDedTable,2,FALSE),1)</f>
        <v/>
      </c>
      <c r="AB181">
        <f>IFERROR(INDEX(RateTables!$L$31:$L$33,MATCH(Policies!K181,RateTables!$K$31:$K$33,0)),1)</f>
        <v/>
      </c>
      <c r="AC181">
        <f>ROUND(F181*D181*J181*AA181*AB181,2)</f>
        <v/>
      </c>
      <c r="AD181">
        <f>MIN(AC181,Policies!G181*HurrCapPct)</f>
        <v/>
      </c>
      <c r="AE181">
        <f>Y181+AD181</f>
        <v/>
      </c>
      <c r="AF181" s="1">
        <f>EDATE(Policies!M181,Policies!N181)</f>
        <v/>
      </c>
      <c r="AG181">
        <f>ROUND(YEARFRAC(Policies!M181,AF181,3),4)</f>
        <v/>
      </c>
      <c r="AH181">
        <f>ROUND(AE181*AG181,2)</f>
        <v/>
      </c>
      <c r="AI181">
        <f>MAX(AH181,MinPremium)</f>
        <v/>
      </c>
      <c r="AJ181">
        <f>ROUNDUP(AI181,0)</f>
        <v/>
      </c>
      <c r="AK181">
        <f>VLOOKUP(Policies!N181,FeeTable,2,FALSE)</f>
        <v/>
      </c>
      <c r="AL181">
        <f>ROUND(AJ181*AssessRate,2)</f>
        <v/>
      </c>
      <c r="AM181">
        <f>ROUND((AJ181+AK181)*G181,2)</f>
        <v/>
      </c>
      <c r="AN181">
        <f>AJ181+AK181+AL181+AM181</f>
        <v/>
      </c>
      <c r="AO181">
        <f>IF(OR(Policies!G181&gt;1000000,C181&gt;20,Policies!L181&gt;=3),"REFER","OK")</f>
        <v/>
      </c>
      <c r="AP181">
        <f>ROUND(AH181/D181,3)</f>
        <v/>
      </c>
      <c r="AQ181">
        <f>Policies!B181&amp;"-"&amp;LEFT(Policies!C181,1)&amp;TEXT(Policies!D181,"00")</f>
        <v/>
      </c>
    </row>
    <row r="182">
      <c r="A182">
        <f>Policies!A182</f>
        <v/>
      </c>
      <c r="B182">
        <f>IFERROR(DATEDIF(DATE(Policies!E182,1,1),Policies!M182,"y"),0)</f>
        <v/>
      </c>
      <c r="C182">
        <f>Policies!F182*1</f>
        <v/>
      </c>
      <c r="D182">
        <f>Policies!G182/1000</f>
        <v/>
      </c>
      <c r="E182">
        <f>VLOOKUP(Policies!B182,BaseRates,2,FALSE)</f>
        <v/>
      </c>
      <c r="F182">
        <f>VLOOKUP(Policies!B182,BaseRates,3,FALSE)</f>
        <v/>
      </c>
      <c r="G182">
        <f>VLOOKUP(Policies!B182,BaseRates,4,FALSE)</f>
        <v/>
      </c>
      <c r="H182">
        <f>ROUND(E182*D182,2)</f>
        <v/>
      </c>
      <c r="I182">
        <f>INDEX(RateTables!$B$13:$B$16,MATCH(Policies!C182,RateTables!$A$13:$A$16,0))</f>
        <v/>
      </c>
      <c r="J182">
        <f>INDEX(RateTables!$C$13:$C$16,MATCH(Policies!C182,RateTables!$A$13:$A$16,0))</f>
        <v/>
      </c>
      <c r="K182">
        <f>INDEX(RateTables!$B$19:$C$28,MATCH(Policies!D182,RateTables!$A$19:$A$28,0),IF(Policies!C182="Frame",1,2))</f>
        <v/>
      </c>
      <c r="L182">
        <f>VLOOKUP(B182,AgeBands,2,TRUE)</f>
        <v/>
      </c>
      <c r="M182">
        <f>VLOOKUP(C182,RoofBands,2,TRUE)</f>
        <v/>
      </c>
      <c r="N182">
        <f>VLOOKUP(Policies!G182,AOIBands,2,TRUE)</f>
        <v/>
      </c>
      <c r="O182">
        <f>VLOOKUP(Policies!H182,RateTables!$A$31:$B$35,2,TRUE)</f>
        <v/>
      </c>
      <c r="P182">
        <f>VLOOKUP(MIN(Policies!L182,3),ClaimsTable,2,FALSE)</f>
        <v/>
      </c>
      <c r="Q182">
        <f>ROUND(H182*I182*K182*L182*M182*N182*O182*P182,2)</f>
        <v/>
      </c>
      <c r="R182">
        <f>IF(Policies!J182="Y",1,0)</f>
        <v/>
      </c>
      <c r="S182">
        <f>IF(AND(Policies!L182=0,B182&gt;=3),1,0)</f>
        <v/>
      </c>
      <c r="T182">
        <f>IF(B182&lt;=5,1,0)</f>
        <v/>
      </c>
      <c r="U182">
        <f>IF(Policies!K182="Basic",1,0)</f>
        <v/>
      </c>
      <c r="V182">
        <f>IF(Policies!K182="Fortified",1,0)</f>
        <v/>
      </c>
      <c r="W182">
        <f>SUMPRODUCT(R182:V182,CreditPcts)</f>
        <v/>
      </c>
      <c r="X182">
        <f>MIN(W182,CreditCap)</f>
        <v/>
      </c>
      <c r="Y182">
        <f>ROUND(Q182*(1-X182),2)</f>
        <v/>
      </c>
      <c r="Z182">
        <f>IF(Policies!I182="",0.02,Policies!I182)</f>
        <v/>
      </c>
      <c r="AA182">
        <f>IFERROR(VLOOKUP(Z182,HurrDedTable,2,FALSE),1)</f>
        <v/>
      </c>
      <c r="AB182">
        <f>IFERROR(INDEX(RateTables!$L$31:$L$33,MATCH(Policies!K182,RateTables!$K$31:$K$33,0)),1)</f>
        <v/>
      </c>
      <c r="AC182">
        <f>ROUND(F182*D182*J182*AA182*AB182,2)</f>
        <v/>
      </c>
      <c r="AD182">
        <f>MIN(AC182,Policies!G182*HurrCapPct)</f>
        <v/>
      </c>
      <c r="AE182">
        <f>Y182+AD182</f>
        <v/>
      </c>
      <c r="AF182" s="1">
        <f>EDATE(Policies!M182,Policies!N182)</f>
        <v/>
      </c>
      <c r="AG182">
        <f>ROUND(YEARFRAC(Policies!M182,AF182,3),4)</f>
        <v/>
      </c>
      <c r="AH182">
        <f>ROUND(AE182*AG182,2)</f>
        <v/>
      </c>
      <c r="AI182">
        <f>MAX(AH182,MinPremium)</f>
        <v/>
      </c>
      <c r="AJ182">
        <f>ROUNDUP(AI182,0)</f>
        <v/>
      </c>
      <c r="AK182">
        <f>VLOOKUP(Policies!N182,FeeTable,2,FALSE)</f>
        <v/>
      </c>
      <c r="AL182">
        <f>ROUND(AJ182*AssessRate,2)</f>
        <v/>
      </c>
      <c r="AM182">
        <f>ROUND((AJ182+AK182)*G182,2)</f>
        <v/>
      </c>
      <c r="AN182">
        <f>AJ182+AK182+AL182+AM182</f>
        <v/>
      </c>
      <c r="AO182">
        <f>IF(OR(Policies!G182&gt;1000000,C182&gt;20,Policies!L182&gt;=3),"REFER","OK")</f>
        <v/>
      </c>
      <c r="AP182">
        <f>ROUND(AH182/D182,3)</f>
        <v/>
      </c>
      <c r="AQ182">
        <f>Policies!B182&amp;"-"&amp;LEFT(Policies!C182,1)&amp;TEXT(Policies!D182,"00")</f>
        <v/>
      </c>
    </row>
    <row r="183">
      <c r="A183">
        <f>Policies!A183</f>
        <v/>
      </c>
      <c r="B183">
        <f>IFERROR(DATEDIF(DATE(Policies!E183,1,1),Policies!M183,"y"),0)</f>
        <v/>
      </c>
      <c r="C183">
        <f>Policies!F183*1</f>
        <v/>
      </c>
      <c r="D183">
        <f>Policies!G183/1000</f>
        <v/>
      </c>
      <c r="E183">
        <f>VLOOKUP(Policies!B183,BaseRates,2,FALSE)</f>
        <v/>
      </c>
      <c r="F183">
        <f>VLOOKUP(Policies!B183,BaseRates,3,FALSE)</f>
        <v/>
      </c>
      <c r="G183">
        <f>VLOOKUP(Policies!B183,BaseRates,4,FALSE)</f>
        <v/>
      </c>
      <c r="H183">
        <f>ROUND(E183*D183,2)</f>
        <v/>
      </c>
      <c r="I183">
        <f>INDEX(RateTables!$B$13:$B$16,MATCH(Policies!C183,RateTables!$A$13:$A$16,0))</f>
        <v/>
      </c>
      <c r="J183">
        <f>INDEX(RateTables!$C$13:$C$16,MATCH(Policies!C183,RateTables!$A$13:$A$16,0))</f>
        <v/>
      </c>
      <c r="K183">
        <f>INDEX(RateTables!$B$19:$C$28,MATCH(Policies!D183,RateTables!$A$19:$A$28,0),IF(Policies!C183="Frame",1,2))</f>
        <v/>
      </c>
      <c r="L183">
        <f>VLOOKUP(B183,AgeBands,2,TRUE)</f>
        <v/>
      </c>
      <c r="M183">
        <f>VLOOKUP(C183,RoofBands,2,TRUE)</f>
        <v/>
      </c>
      <c r="N183">
        <f>VLOOKUP(Policies!G183,AOIBands,2,TRUE)</f>
        <v/>
      </c>
      <c r="O183">
        <f>VLOOKUP(Policies!H183,RateTables!$A$31:$B$35,2,TRUE)</f>
        <v/>
      </c>
      <c r="P183">
        <f>VLOOKUP(MIN(Policies!L183,3),ClaimsTable,2,FALSE)</f>
        <v/>
      </c>
      <c r="Q183">
        <f>ROUND(H183*I183*K183*L183*M183*N183*O183*P183,2)</f>
        <v/>
      </c>
      <c r="R183">
        <f>IF(Policies!J183="Y",1,0)</f>
        <v/>
      </c>
      <c r="S183">
        <f>IF(AND(Policies!L183=0,B183&gt;=3),1,0)</f>
        <v/>
      </c>
      <c r="T183">
        <f>IF(B183&lt;=5,1,0)</f>
        <v/>
      </c>
      <c r="U183">
        <f>IF(Policies!K183="Basic",1,0)</f>
        <v/>
      </c>
      <c r="V183">
        <f>IF(Policies!K183="Fortified",1,0)</f>
        <v/>
      </c>
      <c r="W183">
        <f>SUMPRODUCT(R183:V183,CreditPcts)</f>
        <v/>
      </c>
      <c r="X183">
        <f>MIN(W183,CreditCap)</f>
        <v/>
      </c>
      <c r="Y183">
        <f>ROUND(Q183*(1-X183),2)</f>
        <v/>
      </c>
      <c r="Z183">
        <f>IF(Policies!I183="",0.02,Policies!I183)</f>
        <v/>
      </c>
      <c r="AA183">
        <f>IFERROR(VLOOKUP(Z183,HurrDedTable,2,FALSE),1)</f>
        <v/>
      </c>
      <c r="AB183">
        <f>IFERROR(INDEX(RateTables!$L$31:$L$33,MATCH(Policies!K183,RateTables!$K$31:$K$33,0)),1)</f>
        <v/>
      </c>
      <c r="AC183">
        <f>ROUND(F183*D183*J183*AA183*AB183,2)</f>
        <v/>
      </c>
      <c r="AD183">
        <f>MIN(AC183,Policies!G183*HurrCapPct)</f>
        <v/>
      </c>
      <c r="AE183">
        <f>Y183+AD183</f>
        <v/>
      </c>
      <c r="AF183" s="1">
        <f>EDATE(Policies!M183,Policies!N183)</f>
        <v/>
      </c>
      <c r="AG183">
        <f>ROUND(YEARFRAC(Policies!M183,AF183,3),4)</f>
        <v/>
      </c>
      <c r="AH183">
        <f>ROUND(AE183*AG183,2)</f>
        <v/>
      </c>
      <c r="AI183">
        <f>MAX(AH183,MinPremium)</f>
        <v/>
      </c>
      <c r="AJ183">
        <f>ROUNDUP(AI183,0)</f>
        <v/>
      </c>
      <c r="AK183">
        <f>VLOOKUP(Policies!N183,FeeTable,2,FALSE)</f>
        <v/>
      </c>
      <c r="AL183">
        <f>ROUND(AJ183*AssessRate,2)</f>
        <v/>
      </c>
      <c r="AM183">
        <f>ROUND((AJ183+AK183)*G183,2)</f>
        <v/>
      </c>
      <c r="AN183">
        <f>AJ183+AK183+AL183+AM183</f>
        <v/>
      </c>
      <c r="AO183">
        <f>IF(OR(Policies!G183&gt;1000000,C183&gt;20,Policies!L183&gt;=3),"REFER","OK")</f>
        <v/>
      </c>
      <c r="AP183">
        <f>ROUND(AH183/D183,3)</f>
        <v/>
      </c>
      <c r="AQ183">
        <f>Policies!B183&amp;"-"&amp;LEFT(Policies!C183,1)&amp;TEXT(Policies!D183,"00")</f>
        <v/>
      </c>
    </row>
    <row r="184">
      <c r="A184">
        <f>Policies!A184</f>
        <v/>
      </c>
      <c r="B184">
        <f>IFERROR(DATEDIF(DATE(Policies!E184,1,1),Policies!M184,"y"),0)</f>
        <v/>
      </c>
      <c r="C184">
        <f>Policies!F184*1</f>
        <v/>
      </c>
      <c r="D184">
        <f>Policies!G184/1000</f>
        <v/>
      </c>
      <c r="E184">
        <f>VLOOKUP(Policies!B184,BaseRates,2,FALSE)</f>
        <v/>
      </c>
      <c r="F184">
        <f>VLOOKUP(Policies!B184,BaseRates,3,FALSE)</f>
        <v/>
      </c>
      <c r="G184">
        <f>VLOOKUP(Policies!B184,BaseRates,4,FALSE)</f>
        <v/>
      </c>
      <c r="H184">
        <f>ROUND(E184*D184,2)</f>
        <v/>
      </c>
      <c r="I184">
        <f>INDEX(RateTables!$B$13:$B$16,MATCH(Policies!C184,RateTables!$A$13:$A$16,0))</f>
        <v/>
      </c>
      <c r="J184">
        <f>INDEX(RateTables!$C$13:$C$16,MATCH(Policies!C184,RateTables!$A$13:$A$16,0))</f>
        <v/>
      </c>
      <c r="K184">
        <f>INDEX(RateTables!$B$19:$C$28,MATCH(Policies!D184,RateTables!$A$19:$A$28,0),IF(Policies!C184="Frame",1,2))</f>
        <v/>
      </c>
      <c r="L184">
        <f>VLOOKUP(B184,AgeBands,2,TRUE)</f>
        <v/>
      </c>
      <c r="M184">
        <f>VLOOKUP(C184,RoofBands,2,TRUE)</f>
        <v/>
      </c>
      <c r="N184">
        <f>VLOOKUP(Policies!G184,AOIBands,2,TRUE)</f>
        <v/>
      </c>
      <c r="O184">
        <f>VLOOKUP(Policies!H184,RateTables!$A$31:$B$35,2,TRUE)</f>
        <v/>
      </c>
      <c r="P184">
        <f>VLOOKUP(MIN(Policies!L184,3),ClaimsTable,2,FALSE)</f>
        <v/>
      </c>
      <c r="Q184">
        <f>ROUND(H184*I184*K184*L184*M184*N184*O184*P184,2)</f>
        <v/>
      </c>
      <c r="R184">
        <f>IF(Policies!J184="Y",1,0)</f>
        <v/>
      </c>
      <c r="S184">
        <f>IF(AND(Policies!L184=0,B184&gt;=3),1,0)</f>
        <v/>
      </c>
      <c r="T184">
        <f>IF(B184&lt;=5,1,0)</f>
        <v/>
      </c>
      <c r="U184">
        <f>IF(Policies!K184="Basic",1,0)</f>
        <v/>
      </c>
      <c r="V184">
        <f>IF(Policies!K184="Fortified",1,0)</f>
        <v/>
      </c>
      <c r="W184">
        <f>SUMPRODUCT(R184:V184,CreditPcts)</f>
        <v/>
      </c>
      <c r="X184">
        <f>MIN(W184,CreditCap)</f>
        <v/>
      </c>
      <c r="Y184">
        <f>ROUND(Q184*(1-X184),2)</f>
        <v/>
      </c>
      <c r="Z184">
        <f>IF(Policies!I184="",0.02,Policies!I184)</f>
        <v/>
      </c>
      <c r="AA184">
        <f>IFERROR(VLOOKUP(Z184,HurrDedTable,2,FALSE),1)</f>
        <v/>
      </c>
      <c r="AB184">
        <f>IFERROR(INDEX(RateTables!$L$31:$L$33,MATCH(Policies!K184,RateTables!$K$31:$K$33,0)),1)</f>
        <v/>
      </c>
      <c r="AC184">
        <f>ROUND(F184*D184*J184*AA184*AB184,2)</f>
        <v/>
      </c>
      <c r="AD184">
        <f>MIN(AC184,Policies!G184*HurrCapPct)</f>
        <v/>
      </c>
      <c r="AE184">
        <f>Y184+AD184</f>
        <v/>
      </c>
      <c r="AF184" s="1">
        <f>EDATE(Policies!M184,Policies!N184)</f>
        <v/>
      </c>
      <c r="AG184">
        <f>ROUND(YEARFRAC(Policies!M184,AF184,3),4)</f>
        <v/>
      </c>
      <c r="AH184">
        <f>ROUND(AE184*AG184,2)</f>
        <v/>
      </c>
      <c r="AI184">
        <f>MAX(AH184,MinPremium)</f>
        <v/>
      </c>
      <c r="AJ184">
        <f>ROUNDUP(AI184,0)</f>
        <v/>
      </c>
      <c r="AK184">
        <f>VLOOKUP(Policies!N184,FeeTable,2,FALSE)</f>
        <v/>
      </c>
      <c r="AL184">
        <f>ROUND(AJ184*AssessRate,2)</f>
        <v/>
      </c>
      <c r="AM184">
        <f>ROUND((AJ184+AK184)*G184,2)</f>
        <v/>
      </c>
      <c r="AN184">
        <f>AJ184+AK184+AL184+AM184</f>
        <v/>
      </c>
      <c r="AO184">
        <f>IF(OR(Policies!G184&gt;1000000,C184&gt;20,Policies!L184&gt;=3),"REFER","OK")</f>
        <v/>
      </c>
      <c r="AP184">
        <f>ROUND(AH184/D184,3)</f>
        <v/>
      </c>
      <c r="AQ184">
        <f>Policies!B184&amp;"-"&amp;LEFT(Policies!C184,1)&amp;TEXT(Policies!D184,"00")</f>
        <v/>
      </c>
    </row>
    <row r="185">
      <c r="A185">
        <f>Policies!A185</f>
        <v/>
      </c>
      <c r="B185">
        <f>IFERROR(DATEDIF(DATE(Policies!E185,1,1),Policies!M185,"y"),0)</f>
        <v/>
      </c>
      <c r="C185">
        <f>Policies!F185*1</f>
        <v/>
      </c>
      <c r="D185">
        <f>Policies!G185/1000</f>
        <v/>
      </c>
      <c r="E185">
        <f>VLOOKUP(Policies!B185,BaseRates,2,FALSE)</f>
        <v/>
      </c>
      <c r="F185">
        <f>VLOOKUP(Policies!B185,BaseRates,3,FALSE)</f>
        <v/>
      </c>
      <c r="G185">
        <f>VLOOKUP(Policies!B185,BaseRates,4,FALSE)</f>
        <v/>
      </c>
      <c r="H185">
        <f>ROUND(E185*D185,2)</f>
        <v/>
      </c>
      <c r="I185">
        <f>INDEX(RateTables!$B$13:$B$16,MATCH(Policies!C185,RateTables!$A$13:$A$16,0))</f>
        <v/>
      </c>
      <c r="J185">
        <f>INDEX(RateTables!$C$13:$C$16,MATCH(Policies!C185,RateTables!$A$13:$A$16,0))</f>
        <v/>
      </c>
      <c r="K185">
        <f>INDEX(RateTables!$B$19:$C$28,MATCH(Policies!D185,RateTables!$A$19:$A$28,0),IF(Policies!C185="Frame",1,2))</f>
        <v/>
      </c>
      <c r="L185">
        <f>VLOOKUP(B185,AgeBands,2,TRUE)</f>
        <v/>
      </c>
      <c r="M185">
        <f>VLOOKUP(C185,RoofBands,2,TRUE)</f>
        <v/>
      </c>
      <c r="N185">
        <f>VLOOKUP(Policies!G185,AOIBands,2,TRUE)</f>
        <v/>
      </c>
      <c r="O185">
        <f>VLOOKUP(Policies!H185,RateTables!$A$31:$B$35,2,TRUE)</f>
        <v/>
      </c>
      <c r="P185">
        <f>VLOOKUP(MIN(Policies!L185,3),ClaimsTable,2,FALSE)</f>
        <v/>
      </c>
      <c r="Q185">
        <f>ROUND(H185*I185*K185*L185*M185*N185*O185*P185,2)</f>
        <v/>
      </c>
      <c r="R185">
        <f>IF(Policies!J185="Y",1,0)</f>
        <v/>
      </c>
      <c r="S185">
        <f>IF(AND(Policies!L185=0,B185&gt;=3),1,0)</f>
        <v/>
      </c>
      <c r="T185">
        <f>IF(B185&lt;=5,1,0)</f>
        <v/>
      </c>
      <c r="U185">
        <f>IF(Policies!K185="Basic",1,0)</f>
        <v/>
      </c>
      <c r="V185">
        <f>IF(Policies!K185="Fortified",1,0)</f>
        <v/>
      </c>
      <c r="W185">
        <f>SUMPRODUCT(R185:V185,CreditPcts)</f>
        <v/>
      </c>
      <c r="X185">
        <f>MIN(W185,CreditCap)</f>
        <v/>
      </c>
      <c r="Y185">
        <f>ROUND(Q185*(1-X185),2)</f>
        <v/>
      </c>
      <c r="Z185">
        <f>IF(Policies!I185="",0.02,Policies!I185)</f>
        <v/>
      </c>
      <c r="AA185">
        <f>IFERROR(VLOOKUP(Z185,HurrDedTable,2,FALSE),1)</f>
        <v/>
      </c>
      <c r="AB185">
        <f>IFERROR(INDEX(RateTables!$L$31:$L$33,MATCH(Policies!K185,RateTables!$K$31:$K$33,0)),1)</f>
        <v/>
      </c>
      <c r="AC185">
        <f>ROUND(F185*D185*J185*AA185*AB185,2)</f>
        <v/>
      </c>
      <c r="AD185">
        <f>MIN(AC185,Policies!G185*HurrCapPct)</f>
        <v/>
      </c>
      <c r="AE185">
        <f>Y185+AD185</f>
        <v/>
      </c>
      <c r="AF185" s="1">
        <f>EDATE(Policies!M185,Policies!N185)</f>
        <v/>
      </c>
      <c r="AG185">
        <f>ROUND(YEARFRAC(Policies!M185,AF185,3),4)</f>
        <v/>
      </c>
      <c r="AH185">
        <f>ROUND(AE185*AG185,2)</f>
        <v/>
      </c>
      <c r="AI185">
        <f>MAX(AH185,MinPremium)</f>
        <v/>
      </c>
      <c r="AJ185">
        <f>ROUNDUP(AI185,0)</f>
        <v/>
      </c>
      <c r="AK185">
        <f>VLOOKUP(Policies!N185,FeeTable,2,FALSE)</f>
        <v/>
      </c>
      <c r="AL185">
        <f>ROUND(AJ185*AssessRate,2)</f>
        <v/>
      </c>
      <c r="AM185">
        <f>ROUND((AJ185+AK185)*G185,2)</f>
        <v/>
      </c>
      <c r="AN185">
        <f>AJ185+AK185+AL185+AM185</f>
        <v/>
      </c>
      <c r="AO185">
        <f>IF(OR(Policies!G185&gt;1000000,C185&gt;20,Policies!L185&gt;=3),"REFER","OK")</f>
        <v/>
      </c>
      <c r="AP185">
        <f>ROUND(AH185/D185,3)</f>
        <v/>
      </c>
      <c r="AQ185">
        <f>Policies!B185&amp;"-"&amp;LEFT(Policies!C185,1)&amp;TEXT(Policies!D185,"00")</f>
        <v/>
      </c>
    </row>
    <row r="186">
      <c r="A186">
        <f>Policies!A186</f>
        <v/>
      </c>
      <c r="B186">
        <f>IFERROR(DATEDIF(DATE(Policies!E186,1,1),Policies!M186,"y"),0)</f>
        <v/>
      </c>
      <c r="C186">
        <f>Policies!F186*1</f>
        <v/>
      </c>
      <c r="D186">
        <f>Policies!G186/1000</f>
        <v/>
      </c>
      <c r="E186">
        <f>VLOOKUP(Policies!B186,BaseRates,2,FALSE)</f>
        <v/>
      </c>
      <c r="F186">
        <f>VLOOKUP(Policies!B186,BaseRates,3,FALSE)</f>
        <v/>
      </c>
      <c r="G186">
        <f>VLOOKUP(Policies!B186,BaseRates,4,FALSE)</f>
        <v/>
      </c>
      <c r="H186">
        <f>ROUND(E186*D186,2)</f>
        <v/>
      </c>
      <c r="I186">
        <f>INDEX(RateTables!$B$13:$B$16,MATCH(Policies!C186,RateTables!$A$13:$A$16,0))</f>
        <v/>
      </c>
      <c r="J186">
        <f>INDEX(RateTables!$C$13:$C$16,MATCH(Policies!C186,RateTables!$A$13:$A$16,0))</f>
        <v/>
      </c>
      <c r="K186">
        <f>INDEX(RateTables!$B$19:$C$28,MATCH(Policies!D186,RateTables!$A$19:$A$28,0),IF(Policies!C186="Frame",1,2))</f>
        <v/>
      </c>
      <c r="L186">
        <f>VLOOKUP(B186,AgeBands,2,TRUE)</f>
        <v/>
      </c>
      <c r="M186">
        <f>VLOOKUP(C186,RoofBands,2,TRUE)</f>
        <v/>
      </c>
      <c r="N186">
        <f>VLOOKUP(Policies!G186,AOIBands,2,TRUE)</f>
        <v/>
      </c>
      <c r="O186">
        <f>VLOOKUP(Policies!H186,RateTables!$A$31:$B$35,2,TRUE)</f>
        <v/>
      </c>
      <c r="P186">
        <f>VLOOKUP(MIN(Policies!L186,3),ClaimsTable,2,FALSE)</f>
        <v/>
      </c>
      <c r="Q186">
        <f>ROUND(H186*I186*K186*L186*M186*N186*O186*P186,2)</f>
        <v/>
      </c>
      <c r="R186">
        <f>IF(Policies!J186="Y",1,0)</f>
        <v/>
      </c>
      <c r="S186">
        <f>IF(AND(Policies!L186=0,B186&gt;=3),1,0)</f>
        <v/>
      </c>
      <c r="T186">
        <f>IF(B186&lt;=5,1,0)</f>
        <v/>
      </c>
      <c r="U186">
        <f>IF(Policies!K186="Basic",1,0)</f>
        <v/>
      </c>
      <c r="V186">
        <f>IF(Policies!K186="Fortified",1,0)</f>
        <v/>
      </c>
      <c r="W186">
        <f>SUMPRODUCT(R186:V186,CreditPcts)</f>
        <v/>
      </c>
      <c r="X186">
        <f>MIN(W186,CreditCap)</f>
        <v/>
      </c>
      <c r="Y186">
        <f>ROUND(Q186*(1-X186),2)</f>
        <v/>
      </c>
      <c r="Z186">
        <f>IF(Policies!I186="",0.02,Policies!I186)</f>
        <v/>
      </c>
      <c r="AA186">
        <f>IFERROR(VLOOKUP(Z186,HurrDedTable,2,FALSE),1)</f>
        <v/>
      </c>
      <c r="AB186">
        <f>IFERROR(INDEX(RateTables!$L$31:$L$33,MATCH(Policies!K186,RateTables!$K$31:$K$33,0)),1)</f>
        <v/>
      </c>
      <c r="AC186">
        <f>ROUND(F186*D186*J186*AA186*AB186,2)</f>
        <v/>
      </c>
      <c r="AD186">
        <f>MIN(AC186,Policies!G186*HurrCapPct)</f>
        <v/>
      </c>
      <c r="AE186">
        <f>Y186+AD186</f>
        <v/>
      </c>
      <c r="AF186" s="1">
        <f>EDATE(Policies!M186,Policies!N186)</f>
        <v/>
      </c>
      <c r="AG186">
        <f>ROUND(YEARFRAC(Policies!M186,AF186,3),4)</f>
        <v/>
      </c>
      <c r="AH186">
        <f>ROUND(AE186*AG186,2)</f>
        <v/>
      </c>
      <c r="AI186">
        <f>MAX(AH186,MinPremium)</f>
        <v/>
      </c>
      <c r="AJ186">
        <f>ROUNDUP(AI186,0)</f>
        <v/>
      </c>
      <c r="AK186">
        <f>VLOOKUP(Policies!N186,FeeTable,2,FALSE)</f>
        <v/>
      </c>
      <c r="AL186">
        <f>ROUND(AJ186*AssessRate,2)</f>
        <v/>
      </c>
      <c r="AM186">
        <f>ROUND((AJ186+AK186)*G186,2)</f>
        <v/>
      </c>
      <c r="AN186">
        <f>AJ186+AK186+AL186+AM186</f>
        <v/>
      </c>
      <c r="AO186">
        <f>IF(OR(Policies!G186&gt;1000000,C186&gt;20,Policies!L186&gt;=3),"REFER","OK")</f>
        <v/>
      </c>
      <c r="AP186">
        <f>ROUND(AH186/D186,3)</f>
        <v/>
      </c>
      <c r="AQ186">
        <f>Policies!B186&amp;"-"&amp;LEFT(Policies!C186,1)&amp;TEXT(Policies!D186,"00")</f>
        <v/>
      </c>
    </row>
    <row r="187">
      <c r="A187">
        <f>Policies!A187</f>
        <v/>
      </c>
      <c r="B187">
        <f>IFERROR(DATEDIF(DATE(Policies!E187,1,1),Policies!M187,"y"),0)</f>
        <v/>
      </c>
      <c r="C187">
        <f>Policies!F187*1</f>
        <v/>
      </c>
      <c r="D187">
        <f>Policies!G187/1000</f>
        <v/>
      </c>
      <c r="E187">
        <f>VLOOKUP(Policies!B187,BaseRates,2,FALSE)</f>
        <v/>
      </c>
      <c r="F187">
        <f>VLOOKUP(Policies!B187,BaseRates,3,FALSE)</f>
        <v/>
      </c>
      <c r="G187">
        <f>VLOOKUP(Policies!B187,BaseRates,4,FALSE)</f>
        <v/>
      </c>
      <c r="H187">
        <f>ROUND(E187*D187,2)</f>
        <v/>
      </c>
      <c r="I187">
        <f>INDEX(RateTables!$B$13:$B$16,MATCH(Policies!C187,RateTables!$A$13:$A$16,0))</f>
        <v/>
      </c>
      <c r="J187">
        <f>INDEX(RateTables!$C$13:$C$16,MATCH(Policies!C187,RateTables!$A$13:$A$16,0))</f>
        <v/>
      </c>
      <c r="K187">
        <f>INDEX(RateTables!$B$19:$C$28,MATCH(Policies!D187,RateTables!$A$19:$A$28,0),IF(Policies!C187="Frame",1,2))</f>
        <v/>
      </c>
      <c r="L187">
        <f>VLOOKUP(B187,AgeBands,2,TRUE)</f>
        <v/>
      </c>
      <c r="M187">
        <f>VLOOKUP(C187,RoofBands,2,TRUE)</f>
        <v/>
      </c>
      <c r="N187">
        <f>VLOOKUP(Policies!G187,AOIBands,2,TRUE)</f>
        <v/>
      </c>
      <c r="O187">
        <f>VLOOKUP(Policies!H187,RateTables!$A$31:$B$35,2,TRUE)</f>
        <v/>
      </c>
      <c r="P187">
        <f>VLOOKUP(MIN(Policies!L187,3),ClaimsTable,2,FALSE)</f>
        <v/>
      </c>
      <c r="Q187">
        <f>ROUND(H187*I187*K187*L187*M187*N187*O187*P187,2)</f>
        <v/>
      </c>
      <c r="R187">
        <f>IF(Policies!J187="Y",1,0)</f>
        <v/>
      </c>
      <c r="S187">
        <f>IF(AND(Policies!L187=0,B187&gt;=3),1,0)</f>
        <v/>
      </c>
      <c r="T187">
        <f>IF(B187&lt;=5,1,0)</f>
        <v/>
      </c>
      <c r="U187">
        <f>IF(Policies!K187="Basic",1,0)</f>
        <v/>
      </c>
      <c r="V187">
        <f>IF(Policies!K187="Fortified",1,0)</f>
        <v/>
      </c>
      <c r="W187">
        <f>SUMPRODUCT(R187:V187,CreditPcts)</f>
        <v/>
      </c>
      <c r="X187">
        <f>MIN(W187,CreditCap)</f>
        <v/>
      </c>
      <c r="Y187">
        <f>ROUND(Q187*(1-X187),2)</f>
        <v/>
      </c>
      <c r="Z187">
        <f>IF(Policies!I187="",0.02,Policies!I187)</f>
        <v/>
      </c>
      <c r="AA187">
        <f>IFERROR(VLOOKUP(Z187,HurrDedTable,2,FALSE),1)</f>
        <v/>
      </c>
      <c r="AB187">
        <f>IFERROR(INDEX(RateTables!$L$31:$L$33,MATCH(Policies!K187,RateTables!$K$31:$K$33,0)),1)</f>
        <v/>
      </c>
      <c r="AC187">
        <f>ROUND(F187*D187*J187*AA187*AB187,2)</f>
        <v/>
      </c>
      <c r="AD187">
        <f>MIN(AC187,Policies!G187*HurrCapPct)</f>
        <v/>
      </c>
      <c r="AE187">
        <f>Y187+AD187</f>
        <v/>
      </c>
      <c r="AF187" s="1">
        <f>EDATE(Policies!M187,Policies!N187)</f>
        <v/>
      </c>
      <c r="AG187">
        <f>ROUND(YEARFRAC(Policies!M187,AF187,3),4)</f>
        <v/>
      </c>
      <c r="AH187">
        <f>ROUND(AE187*AG187,2)</f>
        <v/>
      </c>
      <c r="AI187">
        <f>MAX(AH187,MinPremium)</f>
        <v/>
      </c>
      <c r="AJ187">
        <f>ROUNDUP(AI187,0)</f>
        <v/>
      </c>
      <c r="AK187">
        <f>VLOOKUP(Policies!N187,FeeTable,2,FALSE)</f>
        <v/>
      </c>
      <c r="AL187">
        <f>ROUND(AJ187*AssessRate,2)</f>
        <v/>
      </c>
      <c r="AM187">
        <f>ROUND((AJ187+AK187)*G187,2)</f>
        <v/>
      </c>
      <c r="AN187">
        <f>AJ187+AK187+AL187+AM187</f>
        <v/>
      </c>
      <c r="AO187">
        <f>IF(OR(Policies!G187&gt;1000000,C187&gt;20,Policies!L187&gt;=3),"REFER","OK")</f>
        <v/>
      </c>
      <c r="AP187">
        <f>ROUND(AH187/D187,3)</f>
        <v/>
      </c>
      <c r="AQ187">
        <f>Policies!B187&amp;"-"&amp;LEFT(Policies!C187,1)&amp;TEXT(Policies!D187,"00")</f>
        <v/>
      </c>
    </row>
    <row r="188">
      <c r="A188">
        <f>Policies!A188</f>
        <v/>
      </c>
      <c r="B188">
        <f>IFERROR(DATEDIF(DATE(Policies!E188,1,1),Policies!M188,"y"),0)</f>
        <v/>
      </c>
      <c r="C188">
        <f>Policies!F188*1</f>
        <v/>
      </c>
      <c r="D188">
        <f>Policies!G188/1000</f>
        <v/>
      </c>
      <c r="E188">
        <f>VLOOKUP(Policies!B188,BaseRates,2,FALSE)</f>
        <v/>
      </c>
      <c r="F188">
        <f>VLOOKUP(Policies!B188,BaseRates,3,FALSE)</f>
        <v/>
      </c>
      <c r="G188">
        <f>VLOOKUP(Policies!B188,BaseRates,4,FALSE)</f>
        <v/>
      </c>
      <c r="H188">
        <f>ROUND(E188*D188,2)</f>
        <v/>
      </c>
      <c r="I188">
        <f>INDEX(RateTables!$B$13:$B$16,MATCH(Policies!C188,RateTables!$A$13:$A$16,0))</f>
        <v/>
      </c>
      <c r="J188">
        <f>INDEX(RateTables!$C$13:$C$16,MATCH(Policies!C188,RateTables!$A$13:$A$16,0))</f>
        <v/>
      </c>
      <c r="K188">
        <f>INDEX(RateTables!$B$19:$C$28,MATCH(Policies!D188,RateTables!$A$19:$A$28,0),IF(Policies!C188="Frame",1,2))</f>
        <v/>
      </c>
      <c r="L188">
        <f>VLOOKUP(B188,AgeBands,2,TRUE)</f>
        <v/>
      </c>
      <c r="M188">
        <f>VLOOKUP(C188,RoofBands,2,TRUE)</f>
        <v/>
      </c>
      <c r="N188">
        <f>VLOOKUP(Policies!G188,AOIBands,2,TRUE)</f>
        <v/>
      </c>
      <c r="O188">
        <f>VLOOKUP(Policies!H188,RateTables!$A$31:$B$35,2,TRUE)</f>
        <v/>
      </c>
      <c r="P188">
        <f>VLOOKUP(MIN(Policies!L188,3),ClaimsTable,2,FALSE)</f>
        <v/>
      </c>
      <c r="Q188">
        <f>ROUND(H188*I188*K188*L188*M188*N188*O188*P188,2)</f>
        <v/>
      </c>
      <c r="R188">
        <f>IF(Policies!J188="Y",1,0)</f>
        <v/>
      </c>
      <c r="S188">
        <f>IF(AND(Policies!L188=0,B188&gt;=3),1,0)</f>
        <v/>
      </c>
      <c r="T188">
        <f>IF(B188&lt;=5,1,0)</f>
        <v/>
      </c>
      <c r="U188">
        <f>IF(Policies!K188="Basic",1,0)</f>
        <v/>
      </c>
      <c r="V188">
        <f>IF(Policies!K188="Fortified",1,0)</f>
        <v/>
      </c>
      <c r="W188">
        <f>SUMPRODUCT(R188:V188,CreditPcts)</f>
        <v/>
      </c>
      <c r="X188">
        <f>MIN(W188,CreditCap)</f>
        <v/>
      </c>
      <c r="Y188">
        <f>ROUND(Q188*(1-X188),2)</f>
        <v/>
      </c>
      <c r="Z188">
        <f>IF(Policies!I188="",0.02,Policies!I188)</f>
        <v/>
      </c>
      <c r="AA188">
        <f>IFERROR(VLOOKUP(Z188,HurrDedTable,2,FALSE),1)</f>
        <v/>
      </c>
      <c r="AB188">
        <f>IFERROR(INDEX(RateTables!$L$31:$L$33,MATCH(Policies!K188,RateTables!$K$31:$K$33,0)),1)</f>
        <v/>
      </c>
      <c r="AC188">
        <f>ROUND(F188*D188*J188*AA188*AB188,2)</f>
        <v/>
      </c>
      <c r="AD188">
        <f>MIN(AC188,Policies!G188*HurrCapPct)</f>
        <v/>
      </c>
      <c r="AE188">
        <f>Y188+AD188</f>
        <v/>
      </c>
      <c r="AF188" s="1">
        <f>EDATE(Policies!M188,Policies!N188)</f>
        <v/>
      </c>
      <c r="AG188">
        <f>ROUND(YEARFRAC(Policies!M188,AF188,3),4)</f>
        <v/>
      </c>
      <c r="AH188">
        <f>ROUND(AE188*AG188,2)</f>
        <v/>
      </c>
      <c r="AI188">
        <f>MAX(AH188,MinPremium)</f>
        <v/>
      </c>
      <c r="AJ188">
        <f>ROUNDUP(AI188,0)</f>
        <v/>
      </c>
      <c r="AK188">
        <f>VLOOKUP(Policies!N188,FeeTable,2,FALSE)</f>
        <v/>
      </c>
      <c r="AL188">
        <f>ROUND(AJ188*AssessRate,2)</f>
        <v/>
      </c>
      <c r="AM188">
        <f>ROUND((AJ188+AK188)*G188,2)</f>
        <v/>
      </c>
      <c r="AN188">
        <f>AJ188+AK188+AL188+AM188</f>
        <v/>
      </c>
      <c r="AO188">
        <f>IF(OR(Policies!G188&gt;1000000,C188&gt;20,Policies!L188&gt;=3),"REFER","OK")</f>
        <v/>
      </c>
      <c r="AP188">
        <f>ROUND(AH188/D188,3)</f>
        <v/>
      </c>
      <c r="AQ188">
        <f>Policies!B188&amp;"-"&amp;LEFT(Policies!C188,1)&amp;TEXT(Policies!D188,"00")</f>
        <v/>
      </c>
    </row>
    <row r="189">
      <c r="A189">
        <f>Policies!A189</f>
        <v/>
      </c>
      <c r="B189">
        <f>IFERROR(DATEDIF(DATE(Policies!E189,1,1),Policies!M189,"y"),0)</f>
        <v/>
      </c>
      <c r="C189">
        <f>Policies!F189*1</f>
        <v/>
      </c>
      <c r="D189">
        <f>Policies!G189/1000</f>
        <v/>
      </c>
      <c r="E189">
        <f>VLOOKUP(Policies!B189,BaseRates,2,FALSE)</f>
        <v/>
      </c>
      <c r="F189">
        <f>VLOOKUP(Policies!B189,BaseRates,3,FALSE)</f>
        <v/>
      </c>
      <c r="G189">
        <f>VLOOKUP(Policies!B189,BaseRates,4,FALSE)</f>
        <v/>
      </c>
      <c r="H189">
        <f>ROUND(E189*D189,2)</f>
        <v/>
      </c>
      <c r="I189">
        <f>INDEX(RateTables!$B$13:$B$16,MATCH(Policies!C189,RateTables!$A$13:$A$16,0))</f>
        <v/>
      </c>
      <c r="J189">
        <f>INDEX(RateTables!$C$13:$C$16,MATCH(Policies!C189,RateTables!$A$13:$A$16,0))</f>
        <v/>
      </c>
      <c r="K189">
        <f>INDEX(RateTables!$B$19:$C$28,MATCH(Policies!D189,RateTables!$A$19:$A$28,0),IF(Policies!C189="Frame",1,2))</f>
        <v/>
      </c>
      <c r="L189">
        <f>VLOOKUP(B189,AgeBands,2,TRUE)</f>
        <v/>
      </c>
      <c r="M189">
        <f>VLOOKUP(C189,RoofBands,2,TRUE)</f>
        <v/>
      </c>
      <c r="N189">
        <f>VLOOKUP(Policies!G189,AOIBands,2,TRUE)</f>
        <v/>
      </c>
      <c r="O189">
        <f>VLOOKUP(Policies!H189,RateTables!$A$31:$B$35,2,TRUE)</f>
        <v/>
      </c>
      <c r="P189">
        <f>VLOOKUP(MIN(Policies!L189,3),ClaimsTable,2,FALSE)</f>
        <v/>
      </c>
      <c r="Q189">
        <f>ROUND(H189*I189*K189*L189*M189*N189*O189*P189,2)</f>
        <v/>
      </c>
      <c r="R189">
        <f>IF(Policies!J189="Y",1,0)</f>
        <v/>
      </c>
      <c r="S189">
        <f>IF(AND(Policies!L189=0,B189&gt;=3),1,0)</f>
        <v/>
      </c>
      <c r="T189">
        <f>IF(B189&lt;=5,1,0)</f>
        <v/>
      </c>
      <c r="U189">
        <f>IF(Policies!K189="Basic",1,0)</f>
        <v/>
      </c>
      <c r="V189">
        <f>IF(Policies!K189="Fortified",1,0)</f>
        <v/>
      </c>
      <c r="W189">
        <f>SUMPRODUCT(R189:V189,CreditPcts)</f>
        <v/>
      </c>
      <c r="X189">
        <f>MIN(W189,CreditCap)</f>
        <v/>
      </c>
      <c r="Y189">
        <f>ROUND(Q189*(1-X189),2)</f>
        <v/>
      </c>
      <c r="Z189">
        <f>IF(Policies!I189="",0.02,Policies!I189)</f>
        <v/>
      </c>
      <c r="AA189">
        <f>IFERROR(VLOOKUP(Z189,HurrDedTable,2,FALSE),1)</f>
        <v/>
      </c>
      <c r="AB189">
        <f>IFERROR(INDEX(RateTables!$L$31:$L$33,MATCH(Policies!K189,RateTables!$K$31:$K$33,0)),1)</f>
        <v/>
      </c>
      <c r="AC189">
        <f>ROUND(F189*D189*J189*AA189*AB189,2)</f>
        <v/>
      </c>
      <c r="AD189">
        <f>MIN(AC189,Policies!G189*HurrCapPct)</f>
        <v/>
      </c>
      <c r="AE189">
        <f>Y189+AD189</f>
        <v/>
      </c>
      <c r="AF189" s="1">
        <f>EDATE(Policies!M189,Policies!N189)</f>
        <v/>
      </c>
      <c r="AG189">
        <f>ROUND(YEARFRAC(Policies!M189,AF189,3),4)</f>
        <v/>
      </c>
      <c r="AH189">
        <f>ROUND(AE189*AG189,2)</f>
        <v/>
      </c>
      <c r="AI189">
        <f>MAX(AH189,MinPremium)</f>
        <v/>
      </c>
      <c r="AJ189">
        <f>ROUNDUP(AI189,0)</f>
        <v/>
      </c>
      <c r="AK189">
        <f>VLOOKUP(Policies!N189,FeeTable,2,FALSE)</f>
        <v/>
      </c>
      <c r="AL189">
        <f>ROUND(AJ189*AssessRate,2)</f>
        <v/>
      </c>
      <c r="AM189">
        <f>ROUND((AJ189+AK189)*G189,2)</f>
        <v/>
      </c>
      <c r="AN189">
        <f>AJ189+AK189+AL189+AM189</f>
        <v/>
      </c>
      <c r="AO189">
        <f>IF(OR(Policies!G189&gt;1000000,C189&gt;20,Policies!L189&gt;=3),"REFER","OK")</f>
        <v/>
      </c>
      <c r="AP189">
        <f>ROUND(AH189/D189,3)</f>
        <v/>
      </c>
      <c r="AQ189">
        <f>Policies!B189&amp;"-"&amp;LEFT(Policies!C189,1)&amp;TEXT(Policies!D189,"00")</f>
        <v/>
      </c>
    </row>
    <row r="190">
      <c r="A190">
        <f>Policies!A190</f>
        <v/>
      </c>
      <c r="B190">
        <f>IFERROR(DATEDIF(DATE(Policies!E190,1,1),Policies!M190,"y"),0)</f>
        <v/>
      </c>
      <c r="C190">
        <f>Policies!F190*1</f>
        <v/>
      </c>
      <c r="D190">
        <f>Policies!G190/1000</f>
        <v/>
      </c>
      <c r="E190">
        <f>VLOOKUP(Policies!B190,BaseRates,2,FALSE)</f>
        <v/>
      </c>
      <c r="F190">
        <f>VLOOKUP(Policies!B190,BaseRates,3,FALSE)</f>
        <v/>
      </c>
      <c r="G190">
        <f>VLOOKUP(Policies!B190,BaseRates,4,FALSE)</f>
        <v/>
      </c>
      <c r="H190">
        <f>ROUND(E190*D190,2)</f>
        <v/>
      </c>
      <c r="I190">
        <f>INDEX(RateTables!$B$13:$B$16,MATCH(Policies!C190,RateTables!$A$13:$A$16,0))</f>
        <v/>
      </c>
      <c r="J190">
        <f>INDEX(RateTables!$C$13:$C$16,MATCH(Policies!C190,RateTables!$A$13:$A$16,0))</f>
        <v/>
      </c>
      <c r="K190">
        <f>INDEX(RateTables!$B$19:$C$28,MATCH(Policies!D190,RateTables!$A$19:$A$28,0),IF(Policies!C190="Frame",1,2))</f>
        <v/>
      </c>
      <c r="L190">
        <f>VLOOKUP(B190,AgeBands,2,TRUE)</f>
        <v/>
      </c>
      <c r="M190">
        <f>VLOOKUP(C190,RoofBands,2,TRUE)</f>
        <v/>
      </c>
      <c r="N190">
        <f>VLOOKUP(Policies!G190,AOIBands,2,TRUE)</f>
        <v/>
      </c>
      <c r="O190">
        <f>VLOOKUP(Policies!H190,RateTables!$A$31:$B$35,2,TRUE)</f>
        <v/>
      </c>
      <c r="P190">
        <f>VLOOKUP(MIN(Policies!L190,3),ClaimsTable,2,FALSE)</f>
        <v/>
      </c>
      <c r="Q190">
        <f>ROUND(H190*I190*K190*L190*M190*N190*O190*P190,2)</f>
        <v/>
      </c>
      <c r="R190">
        <f>IF(Policies!J190="Y",1,0)</f>
        <v/>
      </c>
      <c r="S190">
        <f>IF(AND(Policies!L190=0,B190&gt;=3),1,0)</f>
        <v/>
      </c>
      <c r="T190">
        <f>IF(B190&lt;=5,1,0)</f>
        <v/>
      </c>
      <c r="U190">
        <f>IF(Policies!K190="Basic",1,0)</f>
        <v/>
      </c>
      <c r="V190">
        <f>IF(Policies!K190="Fortified",1,0)</f>
        <v/>
      </c>
      <c r="W190">
        <f>SUMPRODUCT(R190:V190,CreditPcts)</f>
        <v/>
      </c>
      <c r="X190">
        <f>MIN(W190,CreditCap)</f>
        <v/>
      </c>
      <c r="Y190">
        <f>ROUND(Q190*(1-X190),2)</f>
        <v/>
      </c>
      <c r="Z190">
        <f>IF(Policies!I190="",0.02,Policies!I190)</f>
        <v/>
      </c>
      <c r="AA190">
        <f>IFERROR(VLOOKUP(Z190,HurrDedTable,2,FALSE),1)</f>
        <v/>
      </c>
      <c r="AB190">
        <f>IFERROR(INDEX(RateTables!$L$31:$L$33,MATCH(Policies!K190,RateTables!$K$31:$K$33,0)),1)</f>
        <v/>
      </c>
      <c r="AC190">
        <f>ROUND(F190*D190*J190*AA190*AB190,2)</f>
        <v/>
      </c>
      <c r="AD190">
        <f>MIN(AC190,Policies!G190*HurrCapPct)</f>
        <v/>
      </c>
      <c r="AE190">
        <f>Y190+AD190</f>
        <v/>
      </c>
      <c r="AF190" s="1">
        <f>EDATE(Policies!M190,Policies!N190)</f>
        <v/>
      </c>
      <c r="AG190">
        <f>ROUND(YEARFRAC(Policies!M190,AF190,3),4)</f>
        <v/>
      </c>
      <c r="AH190">
        <f>ROUND(AE190*AG190,2)</f>
        <v/>
      </c>
      <c r="AI190">
        <f>MAX(AH190,MinPremium)</f>
        <v/>
      </c>
      <c r="AJ190">
        <f>ROUNDUP(AI190,0)</f>
        <v/>
      </c>
      <c r="AK190">
        <f>VLOOKUP(Policies!N190,FeeTable,2,FALSE)</f>
        <v/>
      </c>
      <c r="AL190">
        <f>ROUND(AJ190*AssessRate,2)</f>
        <v/>
      </c>
      <c r="AM190">
        <f>ROUND((AJ190+AK190)*G190,2)</f>
        <v/>
      </c>
      <c r="AN190">
        <f>AJ190+AK190+AL190+AM190</f>
        <v/>
      </c>
      <c r="AO190">
        <f>IF(OR(Policies!G190&gt;1000000,C190&gt;20,Policies!L190&gt;=3),"REFER","OK")</f>
        <v/>
      </c>
      <c r="AP190">
        <f>ROUND(AH190/D190,3)</f>
        <v/>
      </c>
      <c r="AQ190">
        <f>Policies!B190&amp;"-"&amp;LEFT(Policies!C190,1)&amp;TEXT(Policies!D190,"00")</f>
        <v/>
      </c>
    </row>
    <row r="191">
      <c r="A191">
        <f>Policies!A191</f>
        <v/>
      </c>
      <c r="B191">
        <f>IFERROR(DATEDIF(DATE(Policies!E191,1,1),Policies!M191,"y"),0)</f>
        <v/>
      </c>
      <c r="C191">
        <f>Policies!F191*1</f>
        <v/>
      </c>
      <c r="D191">
        <f>Policies!G191/1000</f>
        <v/>
      </c>
      <c r="E191">
        <f>VLOOKUP(Policies!B191,BaseRates,2,FALSE)</f>
        <v/>
      </c>
      <c r="F191">
        <f>VLOOKUP(Policies!B191,BaseRates,3,FALSE)</f>
        <v/>
      </c>
      <c r="G191">
        <f>VLOOKUP(Policies!B191,BaseRates,4,FALSE)</f>
        <v/>
      </c>
      <c r="H191">
        <f>ROUND(E191*D191,2)</f>
        <v/>
      </c>
      <c r="I191">
        <f>INDEX(RateTables!$B$13:$B$16,MATCH(Policies!C191,RateTables!$A$13:$A$16,0))</f>
        <v/>
      </c>
      <c r="J191">
        <f>INDEX(RateTables!$C$13:$C$16,MATCH(Policies!C191,RateTables!$A$13:$A$16,0))</f>
        <v/>
      </c>
      <c r="K191">
        <f>INDEX(RateTables!$B$19:$C$28,MATCH(Policies!D191,RateTables!$A$19:$A$28,0),IF(Policies!C191="Frame",1,2))</f>
        <v/>
      </c>
      <c r="L191">
        <f>VLOOKUP(B191,AgeBands,2,TRUE)</f>
        <v/>
      </c>
      <c r="M191">
        <f>VLOOKUP(C191,RoofBands,2,TRUE)</f>
        <v/>
      </c>
      <c r="N191">
        <f>VLOOKUP(Policies!G191,AOIBands,2,TRUE)</f>
        <v/>
      </c>
      <c r="O191">
        <f>VLOOKUP(Policies!H191,RateTables!$A$31:$B$35,2,TRUE)</f>
        <v/>
      </c>
      <c r="P191">
        <f>VLOOKUP(MIN(Policies!L191,3),ClaimsTable,2,FALSE)</f>
        <v/>
      </c>
      <c r="Q191">
        <f>ROUND(H191*I191*K191*L191*M191*N191*O191*P191,2)</f>
        <v/>
      </c>
      <c r="R191">
        <f>IF(Policies!J191="Y",1,0)</f>
        <v/>
      </c>
      <c r="S191">
        <f>IF(AND(Policies!L191=0,B191&gt;=3),1,0)</f>
        <v/>
      </c>
      <c r="T191">
        <f>IF(B191&lt;=5,1,0)</f>
        <v/>
      </c>
      <c r="U191">
        <f>IF(Policies!K191="Basic",1,0)</f>
        <v/>
      </c>
      <c r="V191">
        <f>IF(Policies!K191="Fortified",1,0)</f>
        <v/>
      </c>
      <c r="W191">
        <f>SUMPRODUCT(R191:V191,CreditPcts)</f>
        <v/>
      </c>
      <c r="X191">
        <f>MIN(W191,CreditCap)</f>
        <v/>
      </c>
      <c r="Y191">
        <f>ROUND(Q191*(1-X191),2)</f>
        <v/>
      </c>
      <c r="Z191">
        <f>IF(Policies!I191="",0.02,Policies!I191)</f>
        <v/>
      </c>
      <c r="AA191">
        <f>IFERROR(VLOOKUP(Z191,HurrDedTable,2,FALSE),1)</f>
        <v/>
      </c>
      <c r="AB191">
        <f>IFERROR(INDEX(RateTables!$L$31:$L$33,MATCH(Policies!K191,RateTables!$K$31:$K$33,0)),1)</f>
        <v/>
      </c>
      <c r="AC191">
        <f>ROUND(F191*D191*J191*AA191*AB191,2)</f>
        <v/>
      </c>
      <c r="AD191">
        <f>MIN(AC191,Policies!G191*HurrCapPct)</f>
        <v/>
      </c>
      <c r="AE191">
        <f>Y191+AD191</f>
        <v/>
      </c>
      <c r="AF191" s="1">
        <f>EDATE(Policies!M191,Policies!N191)</f>
        <v/>
      </c>
      <c r="AG191">
        <f>ROUND(YEARFRAC(Policies!M191,AF191,3),4)</f>
        <v/>
      </c>
      <c r="AH191">
        <f>ROUND(AE191*AG191,2)</f>
        <v/>
      </c>
      <c r="AI191">
        <f>MAX(AH191,MinPremium)</f>
        <v/>
      </c>
      <c r="AJ191">
        <f>ROUNDUP(AI191,0)</f>
        <v/>
      </c>
      <c r="AK191">
        <f>VLOOKUP(Policies!N191,FeeTable,2,FALSE)</f>
        <v/>
      </c>
      <c r="AL191">
        <f>ROUND(AJ191*AssessRate,2)</f>
        <v/>
      </c>
      <c r="AM191">
        <f>ROUND((AJ191+AK191)*G191,2)</f>
        <v/>
      </c>
      <c r="AN191">
        <f>AJ191+AK191+AL191+AM191</f>
        <v/>
      </c>
      <c r="AO191">
        <f>IF(OR(Policies!G191&gt;1000000,C191&gt;20,Policies!L191&gt;=3),"REFER","OK")</f>
        <v/>
      </c>
      <c r="AP191">
        <f>ROUND(AH191/D191,3)</f>
        <v/>
      </c>
      <c r="AQ191">
        <f>Policies!B191&amp;"-"&amp;LEFT(Policies!C191,1)&amp;TEXT(Policies!D191,"00")</f>
        <v/>
      </c>
    </row>
    <row r="192">
      <c r="A192">
        <f>Policies!A192</f>
        <v/>
      </c>
      <c r="B192">
        <f>IFERROR(DATEDIF(DATE(Policies!E192,1,1),Policies!M192,"y"),0)</f>
        <v/>
      </c>
      <c r="C192">
        <f>Policies!F192*1</f>
        <v/>
      </c>
      <c r="D192">
        <f>Policies!G192/1000</f>
        <v/>
      </c>
      <c r="E192">
        <f>VLOOKUP(Policies!B192,BaseRates,2,FALSE)</f>
        <v/>
      </c>
      <c r="F192">
        <f>VLOOKUP(Policies!B192,BaseRates,3,FALSE)</f>
        <v/>
      </c>
      <c r="G192">
        <f>VLOOKUP(Policies!B192,BaseRates,4,FALSE)</f>
        <v/>
      </c>
      <c r="H192">
        <f>ROUND(E192*D192,2)</f>
        <v/>
      </c>
      <c r="I192">
        <f>INDEX(RateTables!$B$13:$B$16,MATCH(Policies!C192,RateTables!$A$13:$A$16,0))</f>
        <v/>
      </c>
      <c r="J192">
        <f>INDEX(RateTables!$C$13:$C$16,MATCH(Policies!C192,RateTables!$A$13:$A$16,0))</f>
        <v/>
      </c>
      <c r="K192">
        <f>INDEX(RateTables!$B$19:$C$28,MATCH(Policies!D192,RateTables!$A$19:$A$28,0),IF(Policies!C192="Frame",1,2))</f>
        <v/>
      </c>
      <c r="L192">
        <f>VLOOKUP(B192,AgeBands,2,TRUE)</f>
        <v/>
      </c>
      <c r="M192">
        <f>VLOOKUP(C192,RoofBands,2,TRUE)</f>
        <v/>
      </c>
      <c r="N192">
        <f>VLOOKUP(Policies!G192,AOIBands,2,TRUE)</f>
        <v/>
      </c>
      <c r="O192">
        <f>VLOOKUP(Policies!H192,RateTables!$A$31:$B$35,2,TRUE)</f>
        <v/>
      </c>
      <c r="P192">
        <f>VLOOKUP(MIN(Policies!L192,3),ClaimsTable,2,FALSE)</f>
        <v/>
      </c>
      <c r="Q192">
        <f>ROUND(H192*I192*K192*L192*M192*N192*O192*P192,2)</f>
        <v/>
      </c>
      <c r="R192">
        <f>IF(Policies!J192="Y",1,0)</f>
        <v/>
      </c>
      <c r="S192">
        <f>IF(AND(Policies!L192=0,B192&gt;=3),1,0)</f>
        <v/>
      </c>
      <c r="T192">
        <f>IF(B192&lt;=5,1,0)</f>
        <v/>
      </c>
      <c r="U192">
        <f>IF(Policies!K192="Basic",1,0)</f>
        <v/>
      </c>
      <c r="V192">
        <f>IF(Policies!K192="Fortified",1,0)</f>
        <v/>
      </c>
      <c r="W192">
        <f>SUMPRODUCT(R192:V192,CreditPcts)</f>
        <v/>
      </c>
      <c r="X192">
        <f>MIN(W192,CreditCap)</f>
        <v/>
      </c>
      <c r="Y192">
        <f>ROUND(Q192*(1-X192),2)</f>
        <v/>
      </c>
      <c r="Z192">
        <f>IF(Policies!I192="",0.02,Policies!I192)</f>
        <v/>
      </c>
      <c r="AA192">
        <f>IFERROR(VLOOKUP(Z192,HurrDedTable,2,FALSE),1)</f>
        <v/>
      </c>
      <c r="AB192">
        <f>IFERROR(INDEX(RateTables!$L$31:$L$33,MATCH(Policies!K192,RateTables!$K$31:$K$33,0)),1)</f>
        <v/>
      </c>
      <c r="AC192">
        <f>ROUND(F192*D192*J192*AA192*AB192,2)</f>
        <v/>
      </c>
      <c r="AD192">
        <f>MIN(AC192,Policies!G192*HurrCapPct)</f>
        <v/>
      </c>
      <c r="AE192">
        <f>Y192+AD192</f>
        <v/>
      </c>
      <c r="AF192" s="1">
        <f>EDATE(Policies!M192,Policies!N192)</f>
        <v/>
      </c>
      <c r="AG192">
        <f>ROUND(YEARFRAC(Policies!M192,AF192,3),4)</f>
        <v/>
      </c>
      <c r="AH192">
        <f>ROUND(AE192*AG192,2)</f>
        <v/>
      </c>
      <c r="AI192">
        <f>MAX(AH192,MinPremium)</f>
        <v/>
      </c>
      <c r="AJ192">
        <f>ROUNDUP(AI192,0)</f>
        <v/>
      </c>
      <c r="AK192">
        <f>VLOOKUP(Policies!N192,FeeTable,2,FALSE)</f>
        <v/>
      </c>
      <c r="AL192">
        <f>ROUND(AJ192*AssessRate,2)</f>
        <v/>
      </c>
      <c r="AM192">
        <f>ROUND((AJ192+AK192)*G192,2)</f>
        <v/>
      </c>
      <c r="AN192">
        <f>AJ192+AK192+AL192+AM192</f>
        <v/>
      </c>
      <c r="AO192">
        <f>IF(OR(Policies!G192&gt;1000000,C192&gt;20,Policies!L192&gt;=3),"REFER","OK")</f>
        <v/>
      </c>
      <c r="AP192">
        <f>ROUND(AH192/D192,3)</f>
        <v/>
      </c>
      <c r="AQ192">
        <f>Policies!B192&amp;"-"&amp;LEFT(Policies!C192,1)&amp;TEXT(Policies!D192,"00")</f>
        <v/>
      </c>
    </row>
    <row r="193">
      <c r="A193">
        <f>Policies!A193</f>
        <v/>
      </c>
      <c r="B193">
        <f>IFERROR(DATEDIF(DATE(Policies!E193,1,1),Policies!M193,"y"),0)</f>
        <v/>
      </c>
      <c r="C193">
        <f>Policies!F193*1</f>
        <v/>
      </c>
      <c r="D193">
        <f>Policies!G193/1000</f>
        <v/>
      </c>
      <c r="E193">
        <f>VLOOKUP(Policies!B193,BaseRates,2,FALSE)</f>
        <v/>
      </c>
      <c r="F193">
        <f>VLOOKUP(Policies!B193,BaseRates,3,FALSE)</f>
        <v/>
      </c>
      <c r="G193">
        <f>VLOOKUP(Policies!B193,BaseRates,4,FALSE)</f>
        <v/>
      </c>
      <c r="H193">
        <f>ROUND(E193*D193,2)</f>
        <v/>
      </c>
      <c r="I193">
        <f>INDEX(RateTables!$B$13:$B$16,MATCH(Policies!C193,RateTables!$A$13:$A$16,0))</f>
        <v/>
      </c>
      <c r="J193">
        <f>INDEX(RateTables!$C$13:$C$16,MATCH(Policies!C193,RateTables!$A$13:$A$16,0))</f>
        <v/>
      </c>
      <c r="K193">
        <f>INDEX(RateTables!$B$19:$C$28,MATCH(Policies!D193,RateTables!$A$19:$A$28,0),IF(Policies!C193="Frame",1,2))</f>
        <v/>
      </c>
      <c r="L193">
        <f>VLOOKUP(B193,AgeBands,2,TRUE)</f>
        <v/>
      </c>
      <c r="M193">
        <f>VLOOKUP(C193,RoofBands,2,TRUE)</f>
        <v/>
      </c>
      <c r="N193">
        <f>VLOOKUP(Policies!G193,AOIBands,2,TRUE)</f>
        <v/>
      </c>
      <c r="O193">
        <f>VLOOKUP(Policies!H193,RateTables!$A$31:$B$35,2,TRUE)</f>
        <v/>
      </c>
      <c r="P193">
        <f>VLOOKUP(MIN(Policies!L193,3),ClaimsTable,2,FALSE)</f>
        <v/>
      </c>
      <c r="Q193">
        <f>ROUND(H193*I193*K193*L193*M193*N193*O193*P193,2)</f>
        <v/>
      </c>
      <c r="R193">
        <f>IF(Policies!J193="Y",1,0)</f>
        <v/>
      </c>
      <c r="S193">
        <f>IF(AND(Policies!L193=0,B193&gt;=3),1,0)</f>
        <v/>
      </c>
      <c r="T193">
        <f>IF(B193&lt;=5,1,0)</f>
        <v/>
      </c>
      <c r="U193">
        <f>IF(Policies!K193="Basic",1,0)</f>
        <v/>
      </c>
      <c r="V193">
        <f>IF(Policies!K193="Fortified",1,0)</f>
        <v/>
      </c>
      <c r="W193">
        <f>SUMPRODUCT(R193:V193,CreditPcts)</f>
        <v/>
      </c>
      <c r="X193">
        <f>MIN(W193,CreditCap)</f>
        <v/>
      </c>
      <c r="Y193">
        <f>ROUND(Q193*(1-X193),2)</f>
        <v/>
      </c>
      <c r="Z193">
        <f>IF(Policies!I193="",0.02,Policies!I193)</f>
        <v/>
      </c>
      <c r="AA193">
        <f>IFERROR(VLOOKUP(Z193,HurrDedTable,2,FALSE),1)</f>
        <v/>
      </c>
      <c r="AB193">
        <f>IFERROR(INDEX(RateTables!$L$31:$L$33,MATCH(Policies!K193,RateTables!$K$31:$K$33,0)),1)</f>
        <v/>
      </c>
      <c r="AC193">
        <f>ROUND(F193*D193*J193*AA193*AB193,2)</f>
        <v/>
      </c>
      <c r="AD193">
        <f>MIN(AC193,Policies!G193*HurrCapPct)</f>
        <v/>
      </c>
      <c r="AE193">
        <f>Y193+AD193</f>
        <v/>
      </c>
      <c r="AF193" s="1">
        <f>EDATE(Policies!M193,Policies!N193)</f>
        <v/>
      </c>
      <c r="AG193">
        <f>ROUND(YEARFRAC(Policies!M193,AF193,3),4)</f>
        <v/>
      </c>
      <c r="AH193">
        <f>ROUND(AE193*AG193,2)</f>
        <v/>
      </c>
      <c r="AI193">
        <f>MAX(AH193,MinPremium)</f>
        <v/>
      </c>
      <c r="AJ193">
        <f>ROUNDUP(AI193,0)</f>
        <v/>
      </c>
      <c r="AK193">
        <f>VLOOKUP(Policies!N193,FeeTable,2,FALSE)</f>
        <v/>
      </c>
      <c r="AL193">
        <f>ROUND(AJ193*AssessRate,2)</f>
        <v/>
      </c>
      <c r="AM193">
        <f>ROUND((AJ193+AK193)*G193,2)</f>
        <v/>
      </c>
      <c r="AN193">
        <f>AJ193+AK193+AL193+AM193</f>
        <v/>
      </c>
      <c r="AO193">
        <f>IF(OR(Policies!G193&gt;1000000,C193&gt;20,Policies!L193&gt;=3),"REFER","OK")</f>
        <v/>
      </c>
      <c r="AP193">
        <f>ROUND(AH193/D193,3)</f>
        <v/>
      </c>
      <c r="AQ193">
        <f>Policies!B193&amp;"-"&amp;LEFT(Policies!C193,1)&amp;TEXT(Policies!D193,"00")</f>
        <v/>
      </c>
    </row>
    <row r="194">
      <c r="A194">
        <f>Policies!A194</f>
        <v/>
      </c>
      <c r="B194">
        <f>IFERROR(DATEDIF(DATE(Policies!E194,1,1),Policies!M194,"y"),0)</f>
        <v/>
      </c>
      <c r="C194">
        <f>Policies!F194*1</f>
        <v/>
      </c>
      <c r="D194">
        <f>Policies!G194/1000</f>
        <v/>
      </c>
      <c r="E194">
        <f>VLOOKUP(Policies!B194,BaseRates,2,FALSE)</f>
        <v/>
      </c>
      <c r="F194">
        <f>VLOOKUP(Policies!B194,BaseRates,3,FALSE)</f>
        <v/>
      </c>
      <c r="G194">
        <f>VLOOKUP(Policies!B194,BaseRates,4,FALSE)</f>
        <v/>
      </c>
      <c r="H194">
        <f>ROUND(E194*D194,2)</f>
        <v/>
      </c>
      <c r="I194">
        <f>INDEX(RateTables!$B$13:$B$16,MATCH(Policies!C194,RateTables!$A$13:$A$16,0))</f>
        <v/>
      </c>
      <c r="J194">
        <f>INDEX(RateTables!$C$13:$C$16,MATCH(Policies!C194,RateTables!$A$13:$A$16,0))</f>
        <v/>
      </c>
      <c r="K194">
        <f>INDEX(RateTables!$B$19:$C$28,MATCH(Policies!D194,RateTables!$A$19:$A$28,0),IF(Policies!C194="Frame",1,2))</f>
        <v/>
      </c>
      <c r="L194">
        <f>VLOOKUP(B194,AgeBands,2,TRUE)</f>
        <v/>
      </c>
      <c r="M194">
        <f>VLOOKUP(C194,RoofBands,2,TRUE)</f>
        <v/>
      </c>
      <c r="N194">
        <f>VLOOKUP(Policies!G194,AOIBands,2,TRUE)</f>
        <v/>
      </c>
      <c r="O194">
        <f>VLOOKUP(Policies!H194,RateTables!$A$31:$B$35,2,TRUE)</f>
        <v/>
      </c>
      <c r="P194">
        <f>VLOOKUP(MIN(Policies!L194,3),ClaimsTable,2,FALSE)</f>
        <v/>
      </c>
      <c r="Q194">
        <f>ROUND(H194*I194*K194*L194*M194*N194*O194*P194,2)</f>
        <v/>
      </c>
      <c r="R194">
        <f>IF(Policies!J194="Y",1,0)</f>
        <v/>
      </c>
      <c r="S194">
        <f>IF(AND(Policies!L194=0,B194&gt;=3),1,0)</f>
        <v/>
      </c>
      <c r="T194">
        <f>IF(B194&lt;=5,1,0)</f>
        <v/>
      </c>
      <c r="U194">
        <f>IF(Policies!K194="Basic",1,0)</f>
        <v/>
      </c>
      <c r="V194">
        <f>IF(Policies!K194="Fortified",1,0)</f>
        <v/>
      </c>
      <c r="W194">
        <f>SUMPRODUCT(R194:V194,CreditPcts)</f>
        <v/>
      </c>
      <c r="X194">
        <f>MIN(W194,CreditCap)</f>
        <v/>
      </c>
      <c r="Y194">
        <f>ROUND(Q194*(1-X194),2)</f>
        <v/>
      </c>
      <c r="Z194">
        <f>IF(Policies!I194="",0.02,Policies!I194)</f>
        <v/>
      </c>
      <c r="AA194">
        <f>IFERROR(VLOOKUP(Z194,HurrDedTable,2,FALSE),1)</f>
        <v/>
      </c>
      <c r="AB194">
        <f>IFERROR(INDEX(RateTables!$L$31:$L$33,MATCH(Policies!K194,RateTables!$K$31:$K$33,0)),1)</f>
        <v/>
      </c>
      <c r="AC194">
        <f>ROUND(F194*D194*J194*AA194*AB194,2)</f>
        <v/>
      </c>
      <c r="AD194">
        <f>MIN(AC194,Policies!G194*HurrCapPct)</f>
        <v/>
      </c>
      <c r="AE194">
        <f>Y194+AD194</f>
        <v/>
      </c>
      <c r="AF194" s="1">
        <f>EDATE(Policies!M194,Policies!N194)</f>
        <v/>
      </c>
      <c r="AG194">
        <f>ROUND(YEARFRAC(Policies!M194,AF194,3),4)</f>
        <v/>
      </c>
      <c r="AH194">
        <f>ROUND(AE194*AG194,2)</f>
        <v/>
      </c>
      <c r="AI194">
        <f>MAX(AH194,MinPremium)</f>
        <v/>
      </c>
      <c r="AJ194">
        <f>ROUNDUP(AI194,0)</f>
        <v/>
      </c>
      <c r="AK194">
        <f>VLOOKUP(Policies!N194,FeeTable,2,FALSE)</f>
        <v/>
      </c>
      <c r="AL194">
        <f>ROUND(AJ194*AssessRate,2)</f>
        <v/>
      </c>
      <c r="AM194">
        <f>ROUND((AJ194+AK194)*G194,2)</f>
        <v/>
      </c>
      <c r="AN194">
        <f>AJ194+AK194+AL194+AM194</f>
        <v/>
      </c>
      <c r="AO194">
        <f>IF(OR(Policies!G194&gt;1000000,C194&gt;20,Policies!L194&gt;=3),"REFER","OK")</f>
        <v/>
      </c>
      <c r="AP194">
        <f>ROUND(AH194/D194,3)</f>
        <v/>
      </c>
      <c r="AQ194">
        <f>Policies!B194&amp;"-"&amp;LEFT(Policies!C194,1)&amp;TEXT(Policies!D194,"00")</f>
        <v/>
      </c>
    </row>
    <row r="195">
      <c r="A195">
        <f>Policies!A195</f>
        <v/>
      </c>
      <c r="B195">
        <f>IFERROR(DATEDIF(DATE(Policies!E195,1,1),Policies!M195,"y"),0)</f>
        <v/>
      </c>
      <c r="C195">
        <f>Policies!F195*1</f>
        <v/>
      </c>
      <c r="D195">
        <f>Policies!G195/1000</f>
        <v/>
      </c>
      <c r="E195">
        <f>VLOOKUP(Policies!B195,BaseRates,2,FALSE)</f>
        <v/>
      </c>
      <c r="F195">
        <f>VLOOKUP(Policies!B195,BaseRates,3,FALSE)</f>
        <v/>
      </c>
      <c r="G195">
        <f>VLOOKUP(Policies!B195,BaseRates,4,FALSE)</f>
        <v/>
      </c>
      <c r="H195">
        <f>ROUND(E195*D195,2)</f>
        <v/>
      </c>
      <c r="I195">
        <f>INDEX(RateTables!$B$13:$B$16,MATCH(Policies!C195,RateTables!$A$13:$A$16,0))</f>
        <v/>
      </c>
      <c r="J195">
        <f>INDEX(RateTables!$C$13:$C$16,MATCH(Policies!C195,RateTables!$A$13:$A$16,0))</f>
        <v/>
      </c>
      <c r="K195">
        <f>INDEX(RateTables!$B$19:$C$28,MATCH(Policies!D195,RateTables!$A$19:$A$28,0),IF(Policies!C195="Frame",1,2))</f>
        <v/>
      </c>
      <c r="L195">
        <f>VLOOKUP(B195,AgeBands,2,TRUE)</f>
        <v/>
      </c>
      <c r="M195">
        <f>VLOOKUP(C195,RoofBands,2,TRUE)</f>
        <v/>
      </c>
      <c r="N195">
        <f>VLOOKUP(Policies!G195,AOIBands,2,TRUE)</f>
        <v/>
      </c>
      <c r="O195">
        <f>VLOOKUP(Policies!H195,RateTables!$A$31:$B$35,2,TRUE)</f>
        <v/>
      </c>
      <c r="P195">
        <f>VLOOKUP(MIN(Policies!L195,3),ClaimsTable,2,FALSE)</f>
        <v/>
      </c>
      <c r="Q195">
        <f>ROUND(H195*I195*K195*L195*M195*N195*O195*P195,2)</f>
        <v/>
      </c>
      <c r="R195">
        <f>IF(Policies!J195="Y",1,0)</f>
        <v/>
      </c>
      <c r="S195">
        <f>IF(AND(Policies!L195=0,B195&gt;=3),1,0)</f>
        <v/>
      </c>
      <c r="T195">
        <f>IF(B195&lt;=5,1,0)</f>
        <v/>
      </c>
      <c r="U195">
        <f>IF(Policies!K195="Basic",1,0)</f>
        <v/>
      </c>
      <c r="V195">
        <f>IF(Policies!K195="Fortified",1,0)</f>
        <v/>
      </c>
      <c r="W195">
        <f>SUMPRODUCT(R195:V195,CreditPcts)</f>
        <v/>
      </c>
      <c r="X195">
        <f>MIN(W195,CreditCap)</f>
        <v/>
      </c>
      <c r="Y195">
        <f>ROUND(Q195*(1-X195),2)</f>
        <v/>
      </c>
      <c r="Z195">
        <f>IF(Policies!I195="",0.02,Policies!I195)</f>
        <v/>
      </c>
      <c r="AA195">
        <f>IFERROR(VLOOKUP(Z195,HurrDedTable,2,FALSE),1)</f>
        <v/>
      </c>
      <c r="AB195">
        <f>IFERROR(INDEX(RateTables!$L$31:$L$33,MATCH(Policies!K195,RateTables!$K$31:$K$33,0)),1)</f>
        <v/>
      </c>
      <c r="AC195">
        <f>ROUND(F195*D195*J195*AA195*AB195,2)</f>
        <v/>
      </c>
      <c r="AD195">
        <f>MIN(AC195,Policies!G195*HurrCapPct)</f>
        <v/>
      </c>
      <c r="AE195">
        <f>Y195+AD195</f>
        <v/>
      </c>
      <c r="AF195" s="1">
        <f>EDATE(Policies!M195,Policies!N195)</f>
        <v/>
      </c>
      <c r="AG195">
        <f>ROUND(YEARFRAC(Policies!M195,AF195,3),4)</f>
        <v/>
      </c>
      <c r="AH195">
        <f>ROUND(AE195*AG195,2)</f>
        <v/>
      </c>
      <c r="AI195">
        <f>MAX(AH195,MinPremium)</f>
        <v/>
      </c>
      <c r="AJ195">
        <f>ROUNDUP(AI195,0)</f>
        <v/>
      </c>
      <c r="AK195">
        <f>VLOOKUP(Policies!N195,FeeTable,2,FALSE)</f>
        <v/>
      </c>
      <c r="AL195">
        <f>ROUND(AJ195*AssessRate,2)</f>
        <v/>
      </c>
      <c r="AM195">
        <f>ROUND((AJ195+AK195)*G195,2)</f>
        <v/>
      </c>
      <c r="AN195">
        <f>AJ195+AK195+AL195+AM195</f>
        <v/>
      </c>
      <c r="AO195">
        <f>IF(OR(Policies!G195&gt;1000000,C195&gt;20,Policies!L195&gt;=3),"REFER","OK")</f>
        <v/>
      </c>
      <c r="AP195">
        <f>ROUND(AH195/D195,3)</f>
        <v/>
      </c>
      <c r="AQ195">
        <f>Policies!B195&amp;"-"&amp;LEFT(Policies!C195,1)&amp;TEXT(Policies!D195,"00")</f>
        <v/>
      </c>
    </row>
    <row r="196">
      <c r="A196">
        <f>Policies!A196</f>
        <v/>
      </c>
      <c r="B196">
        <f>IFERROR(DATEDIF(DATE(Policies!E196,1,1),Policies!M196,"y"),0)</f>
        <v/>
      </c>
      <c r="C196">
        <f>Policies!F196*1</f>
        <v/>
      </c>
      <c r="D196">
        <f>Policies!G196/1000</f>
        <v/>
      </c>
      <c r="E196">
        <f>VLOOKUP(Policies!B196,BaseRates,2,FALSE)</f>
        <v/>
      </c>
      <c r="F196">
        <f>VLOOKUP(Policies!B196,BaseRates,3,FALSE)</f>
        <v/>
      </c>
      <c r="G196">
        <f>VLOOKUP(Policies!B196,BaseRates,4,FALSE)</f>
        <v/>
      </c>
      <c r="H196">
        <f>ROUND(E196*D196,2)</f>
        <v/>
      </c>
      <c r="I196">
        <f>INDEX(RateTables!$B$13:$B$16,MATCH(Policies!C196,RateTables!$A$13:$A$16,0))</f>
        <v/>
      </c>
      <c r="J196">
        <f>INDEX(RateTables!$C$13:$C$16,MATCH(Policies!C196,RateTables!$A$13:$A$16,0))</f>
        <v/>
      </c>
      <c r="K196">
        <f>INDEX(RateTables!$B$19:$C$28,MATCH(Policies!D196,RateTables!$A$19:$A$28,0),IF(Policies!C196="Frame",1,2))</f>
        <v/>
      </c>
      <c r="L196">
        <f>VLOOKUP(B196,AgeBands,2,TRUE)</f>
        <v/>
      </c>
      <c r="M196">
        <f>VLOOKUP(C196,RoofBands,2,TRUE)</f>
        <v/>
      </c>
      <c r="N196">
        <f>VLOOKUP(Policies!G196,AOIBands,2,TRUE)</f>
        <v/>
      </c>
      <c r="O196">
        <f>VLOOKUP(Policies!H196,RateTables!$A$31:$B$35,2,TRUE)</f>
        <v/>
      </c>
      <c r="P196">
        <f>VLOOKUP(MIN(Policies!L196,3),ClaimsTable,2,FALSE)</f>
        <v/>
      </c>
      <c r="Q196">
        <f>ROUND(H196*I196*K196*L196*M196*N196*O196*P196,2)</f>
        <v/>
      </c>
      <c r="R196">
        <f>IF(Policies!J196="Y",1,0)</f>
        <v/>
      </c>
      <c r="S196">
        <f>IF(AND(Policies!L196=0,B196&gt;=3),1,0)</f>
        <v/>
      </c>
      <c r="T196">
        <f>IF(B196&lt;=5,1,0)</f>
        <v/>
      </c>
      <c r="U196">
        <f>IF(Policies!K196="Basic",1,0)</f>
        <v/>
      </c>
      <c r="V196">
        <f>IF(Policies!K196="Fortified",1,0)</f>
        <v/>
      </c>
      <c r="W196">
        <f>SUMPRODUCT(R196:V196,CreditPcts)</f>
        <v/>
      </c>
      <c r="X196">
        <f>MIN(W196,CreditCap)</f>
        <v/>
      </c>
      <c r="Y196">
        <f>ROUND(Q196*(1-X196),2)</f>
        <v/>
      </c>
      <c r="Z196">
        <f>IF(Policies!I196="",0.02,Policies!I196)</f>
        <v/>
      </c>
      <c r="AA196">
        <f>IFERROR(VLOOKUP(Z196,HurrDedTable,2,FALSE),1)</f>
        <v/>
      </c>
      <c r="AB196">
        <f>IFERROR(INDEX(RateTables!$L$31:$L$33,MATCH(Policies!K196,RateTables!$K$31:$K$33,0)),1)</f>
        <v/>
      </c>
      <c r="AC196">
        <f>ROUND(F196*D196*J196*AA196*AB196,2)</f>
        <v/>
      </c>
      <c r="AD196">
        <f>MIN(AC196,Policies!G196*HurrCapPct)</f>
        <v/>
      </c>
      <c r="AE196">
        <f>Y196+AD196</f>
        <v/>
      </c>
      <c r="AF196" s="1">
        <f>EDATE(Policies!M196,Policies!N196)</f>
        <v/>
      </c>
      <c r="AG196">
        <f>ROUND(YEARFRAC(Policies!M196,AF196,3),4)</f>
        <v/>
      </c>
      <c r="AH196">
        <f>ROUND(AE196*AG196,2)</f>
        <v/>
      </c>
      <c r="AI196">
        <f>MAX(AH196,MinPremium)</f>
        <v/>
      </c>
      <c r="AJ196">
        <f>ROUNDUP(AI196,0)</f>
        <v/>
      </c>
      <c r="AK196">
        <f>VLOOKUP(Policies!N196,FeeTable,2,FALSE)</f>
        <v/>
      </c>
      <c r="AL196">
        <f>ROUND(AJ196*AssessRate,2)</f>
        <v/>
      </c>
      <c r="AM196">
        <f>ROUND((AJ196+AK196)*G196,2)</f>
        <v/>
      </c>
      <c r="AN196">
        <f>AJ196+AK196+AL196+AM196</f>
        <v/>
      </c>
      <c r="AO196">
        <f>IF(OR(Policies!G196&gt;1000000,C196&gt;20,Policies!L196&gt;=3),"REFER","OK")</f>
        <v/>
      </c>
      <c r="AP196">
        <f>ROUND(AH196/D196,3)</f>
        <v/>
      </c>
      <c r="AQ196">
        <f>Policies!B196&amp;"-"&amp;LEFT(Policies!C196,1)&amp;TEXT(Policies!D196,"00")</f>
        <v/>
      </c>
    </row>
    <row r="197">
      <c r="A197">
        <f>Policies!A197</f>
        <v/>
      </c>
      <c r="B197">
        <f>IFERROR(DATEDIF(DATE(Policies!E197,1,1),Policies!M197,"y"),0)</f>
        <v/>
      </c>
      <c r="C197">
        <f>Policies!F197*1</f>
        <v/>
      </c>
      <c r="D197">
        <f>Policies!G197/1000</f>
        <v/>
      </c>
      <c r="E197">
        <f>VLOOKUP(Policies!B197,BaseRates,2,FALSE)</f>
        <v/>
      </c>
      <c r="F197">
        <f>VLOOKUP(Policies!B197,BaseRates,3,FALSE)</f>
        <v/>
      </c>
      <c r="G197">
        <f>VLOOKUP(Policies!B197,BaseRates,4,FALSE)</f>
        <v/>
      </c>
      <c r="H197">
        <f>ROUND(E197*D197,2)</f>
        <v/>
      </c>
      <c r="I197">
        <f>INDEX(RateTables!$B$13:$B$16,MATCH(Policies!C197,RateTables!$A$13:$A$16,0))</f>
        <v/>
      </c>
      <c r="J197">
        <f>INDEX(RateTables!$C$13:$C$16,MATCH(Policies!C197,RateTables!$A$13:$A$16,0))</f>
        <v/>
      </c>
      <c r="K197">
        <f>INDEX(RateTables!$B$19:$C$28,MATCH(Policies!D197,RateTables!$A$19:$A$28,0),IF(Policies!C197="Frame",1,2))</f>
        <v/>
      </c>
      <c r="L197">
        <f>VLOOKUP(B197,AgeBands,2,TRUE)</f>
        <v/>
      </c>
      <c r="M197">
        <f>VLOOKUP(C197,RoofBands,2,TRUE)</f>
        <v/>
      </c>
      <c r="N197">
        <f>VLOOKUP(Policies!G197,AOIBands,2,TRUE)</f>
        <v/>
      </c>
      <c r="O197">
        <f>VLOOKUP(Policies!H197,RateTables!$A$31:$B$35,2,TRUE)</f>
        <v/>
      </c>
      <c r="P197">
        <f>VLOOKUP(MIN(Policies!L197,3),ClaimsTable,2,FALSE)</f>
        <v/>
      </c>
      <c r="Q197">
        <f>ROUND(H197*I197*K197*L197*M197*N197*O197*P197,2)</f>
        <v/>
      </c>
      <c r="R197">
        <f>IF(Policies!J197="Y",1,0)</f>
        <v/>
      </c>
      <c r="S197">
        <f>IF(AND(Policies!L197=0,B197&gt;=3),1,0)</f>
        <v/>
      </c>
      <c r="T197">
        <f>IF(B197&lt;=5,1,0)</f>
        <v/>
      </c>
      <c r="U197">
        <f>IF(Policies!K197="Basic",1,0)</f>
        <v/>
      </c>
      <c r="V197">
        <f>IF(Policies!K197="Fortified",1,0)</f>
        <v/>
      </c>
      <c r="W197">
        <f>SUMPRODUCT(R197:V197,CreditPcts)</f>
        <v/>
      </c>
      <c r="X197">
        <f>MIN(W197,CreditCap)</f>
        <v/>
      </c>
      <c r="Y197">
        <f>ROUND(Q197*(1-X197),2)</f>
        <v/>
      </c>
      <c r="Z197">
        <f>IF(Policies!I197="",0.02,Policies!I197)</f>
        <v/>
      </c>
      <c r="AA197">
        <f>IFERROR(VLOOKUP(Z197,HurrDedTable,2,FALSE),1)</f>
        <v/>
      </c>
      <c r="AB197">
        <f>IFERROR(INDEX(RateTables!$L$31:$L$33,MATCH(Policies!K197,RateTables!$K$31:$K$33,0)),1)</f>
        <v/>
      </c>
      <c r="AC197">
        <f>ROUND(F197*D197*J197*AA197*AB197,2)</f>
        <v/>
      </c>
      <c r="AD197">
        <f>MIN(AC197,Policies!G197*HurrCapPct)</f>
        <v/>
      </c>
      <c r="AE197">
        <f>Y197+AD197</f>
        <v/>
      </c>
      <c r="AF197" s="1">
        <f>EDATE(Policies!M197,Policies!N197)</f>
        <v/>
      </c>
      <c r="AG197">
        <f>ROUND(YEARFRAC(Policies!M197,AF197,3),4)</f>
        <v/>
      </c>
      <c r="AH197">
        <f>ROUND(AE197*AG197,2)</f>
        <v/>
      </c>
      <c r="AI197">
        <f>MAX(AH197,MinPremium)</f>
        <v/>
      </c>
      <c r="AJ197">
        <f>ROUNDUP(AI197,0)</f>
        <v/>
      </c>
      <c r="AK197">
        <f>VLOOKUP(Policies!N197,FeeTable,2,FALSE)</f>
        <v/>
      </c>
      <c r="AL197">
        <f>ROUND(AJ197*AssessRate,2)</f>
        <v/>
      </c>
      <c r="AM197">
        <f>ROUND((AJ197+AK197)*G197,2)</f>
        <v/>
      </c>
      <c r="AN197">
        <f>AJ197+AK197+AL197+AM197</f>
        <v/>
      </c>
      <c r="AO197">
        <f>IF(OR(Policies!G197&gt;1000000,C197&gt;20,Policies!L197&gt;=3),"REFER","OK")</f>
        <v/>
      </c>
      <c r="AP197">
        <f>ROUND(AH197/D197,3)</f>
        <v/>
      </c>
      <c r="AQ197">
        <f>Policies!B197&amp;"-"&amp;LEFT(Policies!C197,1)&amp;TEXT(Policies!D197,"00")</f>
        <v/>
      </c>
    </row>
    <row r="198">
      <c r="A198">
        <f>Policies!A198</f>
        <v/>
      </c>
      <c r="B198">
        <f>IFERROR(DATEDIF(DATE(Policies!E198,1,1),Policies!M198,"y"),0)</f>
        <v/>
      </c>
      <c r="C198">
        <f>Policies!F198*1</f>
        <v/>
      </c>
      <c r="D198">
        <f>Policies!G198/1000</f>
        <v/>
      </c>
      <c r="E198">
        <f>VLOOKUP(Policies!B198,BaseRates,2,FALSE)</f>
        <v/>
      </c>
      <c r="F198">
        <f>VLOOKUP(Policies!B198,BaseRates,3,FALSE)</f>
        <v/>
      </c>
      <c r="G198">
        <f>VLOOKUP(Policies!B198,BaseRates,4,FALSE)</f>
        <v/>
      </c>
      <c r="H198">
        <f>ROUND(E198*D198,2)</f>
        <v/>
      </c>
      <c r="I198">
        <f>INDEX(RateTables!$B$13:$B$16,MATCH(Policies!C198,RateTables!$A$13:$A$16,0))</f>
        <v/>
      </c>
      <c r="J198">
        <f>INDEX(RateTables!$C$13:$C$16,MATCH(Policies!C198,RateTables!$A$13:$A$16,0))</f>
        <v/>
      </c>
      <c r="K198">
        <f>INDEX(RateTables!$B$19:$C$28,MATCH(Policies!D198,RateTables!$A$19:$A$28,0),IF(Policies!C198="Frame",1,2))</f>
        <v/>
      </c>
      <c r="L198">
        <f>VLOOKUP(B198,AgeBands,2,TRUE)</f>
        <v/>
      </c>
      <c r="M198">
        <f>VLOOKUP(C198,RoofBands,2,TRUE)</f>
        <v/>
      </c>
      <c r="N198">
        <f>VLOOKUP(Policies!G198,AOIBands,2,TRUE)</f>
        <v/>
      </c>
      <c r="O198">
        <f>VLOOKUP(Policies!H198,RateTables!$A$31:$B$35,2,TRUE)</f>
        <v/>
      </c>
      <c r="P198">
        <f>VLOOKUP(MIN(Policies!L198,3),ClaimsTable,2,FALSE)</f>
        <v/>
      </c>
      <c r="Q198">
        <f>ROUND(H198*I198*K198*L198*M198*N198*O198*P198,2)</f>
        <v/>
      </c>
      <c r="R198">
        <f>IF(Policies!J198="Y",1,0)</f>
        <v/>
      </c>
      <c r="S198">
        <f>IF(AND(Policies!L198=0,B198&gt;=3),1,0)</f>
        <v/>
      </c>
      <c r="T198">
        <f>IF(B198&lt;=5,1,0)</f>
        <v/>
      </c>
      <c r="U198">
        <f>IF(Policies!K198="Basic",1,0)</f>
        <v/>
      </c>
      <c r="V198">
        <f>IF(Policies!K198="Fortified",1,0)</f>
        <v/>
      </c>
      <c r="W198">
        <f>SUMPRODUCT(R198:V198,CreditPcts)</f>
        <v/>
      </c>
      <c r="X198">
        <f>MIN(W198,CreditCap)</f>
        <v/>
      </c>
      <c r="Y198">
        <f>ROUND(Q198*(1-X198),2)</f>
        <v/>
      </c>
      <c r="Z198">
        <f>IF(Policies!I198="",0.02,Policies!I198)</f>
        <v/>
      </c>
      <c r="AA198">
        <f>IFERROR(VLOOKUP(Z198,HurrDedTable,2,FALSE),1)</f>
        <v/>
      </c>
      <c r="AB198">
        <f>IFERROR(INDEX(RateTables!$L$31:$L$33,MATCH(Policies!K198,RateTables!$K$31:$K$33,0)),1)</f>
        <v/>
      </c>
      <c r="AC198">
        <f>ROUND(F198*D198*J198*AA198*AB198,2)</f>
        <v/>
      </c>
      <c r="AD198">
        <f>MIN(AC198,Policies!G198*HurrCapPct)</f>
        <v/>
      </c>
      <c r="AE198">
        <f>Y198+AD198</f>
        <v/>
      </c>
      <c r="AF198" s="1">
        <f>EDATE(Policies!M198,Policies!N198)</f>
        <v/>
      </c>
      <c r="AG198">
        <f>ROUND(YEARFRAC(Policies!M198,AF198,3),4)</f>
        <v/>
      </c>
      <c r="AH198">
        <f>ROUND(AE198*AG198,2)</f>
        <v/>
      </c>
      <c r="AI198">
        <f>MAX(AH198,MinPremium)</f>
        <v/>
      </c>
      <c r="AJ198">
        <f>ROUNDUP(AI198,0)</f>
        <v/>
      </c>
      <c r="AK198">
        <f>VLOOKUP(Policies!N198,FeeTable,2,FALSE)</f>
        <v/>
      </c>
      <c r="AL198">
        <f>ROUND(AJ198*AssessRate,2)</f>
        <v/>
      </c>
      <c r="AM198">
        <f>ROUND((AJ198+AK198)*G198,2)</f>
        <v/>
      </c>
      <c r="AN198">
        <f>AJ198+AK198+AL198+AM198</f>
        <v/>
      </c>
      <c r="AO198">
        <f>IF(OR(Policies!G198&gt;1000000,C198&gt;20,Policies!L198&gt;=3),"REFER","OK")</f>
        <v/>
      </c>
      <c r="AP198">
        <f>ROUND(AH198/D198,3)</f>
        <v/>
      </c>
      <c r="AQ198">
        <f>Policies!B198&amp;"-"&amp;LEFT(Policies!C198,1)&amp;TEXT(Policies!D198,"00")</f>
        <v/>
      </c>
    </row>
    <row r="199">
      <c r="A199">
        <f>Policies!A199</f>
        <v/>
      </c>
      <c r="B199">
        <f>IFERROR(DATEDIF(DATE(Policies!E199,1,1),Policies!M199,"y"),0)</f>
        <v/>
      </c>
      <c r="C199">
        <f>Policies!F199*1</f>
        <v/>
      </c>
      <c r="D199">
        <f>Policies!G199/1000</f>
        <v/>
      </c>
      <c r="E199">
        <f>VLOOKUP(Policies!B199,BaseRates,2,FALSE)</f>
        <v/>
      </c>
      <c r="F199">
        <f>VLOOKUP(Policies!B199,BaseRates,3,FALSE)</f>
        <v/>
      </c>
      <c r="G199">
        <f>VLOOKUP(Policies!B199,BaseRates,4,FALSE)</f>
        <v/>
      </c>
      <c r="H199">
        <f>ROUND(E199*D199,2)</f>
        <v/>
      </c>
      <c r="I199">
        <f>INDEX(RateTables!$B$13:$B$16,MATCH(Policies!C199,RateTables!$A$13:$A$16,0))</f>
        <v/>
      </c>
      <c r="J199">
        <f>INDEX(RateTables!$C$13:$C$16,MATCH(Policies!C199,RateTables!$A$13:$A$16,0))</f>
        <v/>
      </c>
      <c r="K199">
        <f>INDEX(RateTables!$B$19:$C$28,MATCH(Policies!D199,RateTables!$A$19:$A$28,0),IF(Policies!C199="Frame",1,2))</f>
        <v/>
      </c>
      <c r="L199">
        <f>VLOOKUP(B199,AgeBands,2,TRUE)</f>
        <v/>
      </c>
      <c r="M199">
        <f>VLOOKUP(C199,RoofBands,2,TRUE)</f>
        <v/>
      </c>
      <c r="N199">
        <f>VLOOKUP(Policies!G199,AOIBands,2,TRUE)</f>
        <v/>
      </c>
      <c r="O199">
        <f>VLOOKUP(Policies!H199,RateTables!$A$31:$B$35,2,TRUE)</f>
        <v/>
      </c>
      <c r="P199">
        <f>VLOOKUP(MIN(Policies!L199,3),ClaimsTable,2,FALSE)</f>
        <v/>
      </c>
      <c r="Q199">
        <f>ROUND(H199*I199*K199*L199*M199*N199*O199*P199,2)</f>
        <v/>
      </c>
      <c r="R199">
        <f>IF(Policies!J199="Y",1,0)</f>
        <v/>
      </c>
      <c r="S199">
        <f>IF(AND(Policies!L199=0,B199&gt;=3),1,0)</f>
        <v/>
      </c>
      <c r="T199">
        <f>IF(B199&lt;=5,1,0)</f>
        <v/>
      </c>
      <c r="U199">
        <f>IF(Policies!K199="Basic",1,0)</f>
        <v/>
      </c>
      <c r="V199">
        <f>IF(Policies!K199="Fortified",1,0)</f>
        <v/>
      </c>
      <c r="W199">
        <f>SUMPRODUCT(R199:V199,CreditPcts)</f>
        <v/>
      </c>
      <c r="X199">
        <f>MIN(W199,CreditCap)</f>
        <v/>
      </c>
      <c r="Y199">
        <f>ROUND(Q199*(1-X199),2)</f>
        <v/>
      </c>
      <c r="Z199">
        <f>IF(Policies!I199="",0.02,Policies!I199)</f>
        <v/>
      </c>
      <c r="AA199">
        <f>IFERROR(VLOOKUP(Z199,HurrDedTable,2,FALSE),1)</f>
        <v/>
      </c>
      <c r="AB199">
        <f>IFERROR(INDEX(RateTables!$L$31:$L$33,MATCH(Policies!K199,RateTables!$K$31:$K$33,0)),1)</f>
        <v/>
      </c>
      <c r="AC199">
        <f>ROUND(F199*D199*J199*AA199*AB199,2)</f>
        <v/>
      </c>
      <c r="AD199">
        <f>MIN(AC199,Policies!G199*HurrCapPct)</f>
        <v/>
      </c>
      <c r="AE199">
        <f>Y199+AD199</f>
        <v/>
      </c>
      <c r="AF199" s="1">
        <f>EDATE(Policies!M199,Policies!N199)</f>
        <v/>
      </c>
      <c r="AG199">
        <f>ROUND(YEARFRAC(Policies!M199,AF199,3),4)</f>
        <v/>
      </c>
      <c r="AH199">
        <f>ROUND(AE199*AG199,2)</f>
        <v/>
      </c>
      <c r="AI199">
        <f>MAX(AH199,MinPremium)</f>
        <v/>
      </c>
      <c r="AJ199">
        <f>ROUNDUP(AI199,0)</f>
        <v/>
      </c>
      <c r="AK199">
        <f>VLOOKUP(Policies!N199,FeeTable,2,FALSE)</f>
        <v/>
      </c>
      <c r="AL199">
        <f>ROUND(AJ199*AssessRate,2)</f>
        <v/>
      </c>
      <c r="AM199">
        <f>ROUND((AJ199+AK199)*G199,2)</f>
        <v/>
      </c>
      <c r="AN199">
        <f>AJ199+AK199+AL199+AM199</f>
        <v/>
      </c>
      <c r="AO199">
        <f>IF(OR(Policies!G199&gt;1000000,C199&gt;20,Policies!L199&gt;=3),"REFER","OK")</f>
        <v/>
      </c>
      <c r="AP199">
        <f>ROUND(AH199/D199,3)</f>
        <v/>
      </c>
      <c r="AQ199">
        <f>Policies!B199&amp;"-"&amp;LEFT(Policies!C199,1)&amp;TEXT(Policies!D199,"00")</f>
        <v/>
      </c>
    </row>
    <row r="200">
      <c r="A200">
        <f>Policies!A200</f>
        <v/>
      </c>
      <c r="B200">
        <f>IFERROR(DATEDIF(DATE(Policies!E200,1,1),Policies!M200,"y"),0)</f>
        <v/>
      </c>
      <c r="C200">
        <f>Policies!F200*1</f>
        <v/>
      </c>
      <c r="D200">
        <f>Policies!G200/1000</f>
        <v/>
      </c>
      <c r="E200">
        <f>VLOOKUP(Policies!B200,BaseRates,2,FALSE)</f>
        <v/>
      </c>
      <c r="F200">
        <f>VLOOKUP(Policies!B200,BaseRates,3,FALSE)</f>
        <v/>
      </c>
      <c r="G200">
        <f>VLOOKUP(Policies!B200,BaseRates,4,FALSE)</f>
        <v/>
      </c>
      <c r="H200">
        <f>ROUND(E200*D200,2)</f>
        <v/>
      </c>
      <c r="I200">
        <f>INDEX(RateTables!$B$13:$B$16,MATCH(Policies!C200,RateTables!$A$13:$A$16,0))</f>
        <v/>
      </c>
      <c r="J200">
        <f>INDEX(RateTables!$C$13:$C$16,MATCH(Policies!C200,RateTables!$A$13:$A$16,0))</f>
        <v/>
      </c>
      <c r="K200">
        <f>INDEX(RateTables!$B$19:$C$28,MATCH(Policies!D200,RateTables!$A$19:$A$28,0),IF(Policies!C200="Frame",1,2))</f>
        <v/>
      </c>
      <c r="L200">
        <f>VLOOKUP(B200,AgeBands,2,TRUE)</f>
        <v/>
      </c>
      <c r="M200">
        <f>VLOOKUP(C200,RoofBands,2,TRUE)</f>
        <v/>
      </c>
      <c r="N200">
        <f>VLOOKUP(Policies!G200,AOIBands,2,TRUE)</f>
        <v/>
      </c>
      <c r="O200">
        <f>VLOOKUP(Policies!H200,RateTables!$A$31:$B$35,2,TRUE)</f>
        <v/>
      </c>
      <c r="P200">
        <f>VLOOKUP(MIN(Policies!L200,3),ClaimsTable,2,FALSE)</f>
        <v/>
      </c>
      <c r="Q200">
        <f>ROUND(H200*I200*K200*L200*M200*N200*O200*P200,2)</f>
        <v/>
      </c>
      <c r="R200">
        <f>IF(Policies!J200="Y",1,0)</f>
        <v/>
      </c>
      <c r="S200">
        <f>IF(AND(Policies!L200=0,B200&gt;=3),1,0)</f>
        <v/>
      </c>
      <c r="T200">
        <f>IF(B200&lt;=5,1,0)</f>
        <v/>
      </c>
      <c r="U200">
        <f>IF(Policies!K200="Basic",1,0)</f>
        <v/>
      </c>
      <c r="V200">
        <f>IF(Policies!K200="Fortified",1,0)</f>
        <v/>
      </c>
      <c r="W200">
        <f>SUMPRODUCT(R200:V200,CreditPcts)</f>
        <v/>
      </c>
      <c r="X200">
        <f>MIN(W200,CreditCap)</f>
        <v/>
      </c>
      <c r="Y200">
        <f>ROUND(Q200*(1-X200),2)</f>
        <v/>
      </c>
      <c r="Z200">
        <f>IF(Policies!I200="",0.02,Policies!I200)</f>
        <v/>
      </c>
      <c r="AA200">
        <f>IFERROR(VLOOKUP(Z200,HurrDedTable,2,FALSE),1)</f>
        <v/>
      </c>
      <c r="AB200">
        <f>IFERROR(INDEX(RateTables!$L$31:$L$33,MATCH(Policies!K200,RateTables!$K$31:$K$33,0)),1)</f>
        <v/>
      </c>
      <c r="AC200">
        <f>ROUND(F200*D200*J200*AA200*AB200,2)</f>
        <v/>
      </c>
      <c r="AD200">
        <f>MIN(AC200,Policies!G200*HurrCapPct)</f>
        <v/>
      </c>
      <c r="AE200">
        <f>Y200+AD200</f>
        <v/>
      </c>
      <c r="AF200" s="1">
        <f>EDATE(Policies!M200,Policies!N200)</f>
        <v/>
      </c>
      <c r="AG200">
        <f>ROUND(YEARFRAC(Policies!M200,AF200,3),4)</f>
        <v/>
      </c>
      <c r="AH200">
        <f>ROUND(AE200*AG200,2)</f>
        <v/>
      </c>
      <c r="AI200">
        <f>MAX(AH200,MinPremium)</f>
        <v/>
      </c>
      <c r="AJ200">
        <f>ROUNDUP(AI200,0)</f>
        <v/>
      </c>
      <c r="AK200">
        <f>VLOOKUP(Policies!N200,FeeTable,2,FALSE)</f>
        <v/>
      </c>
      <c r="AL200">
        <f>ROUND(AJ200*AssessRate,2)</f>
        <v/>
      </c>
      <c r="AM200">
        <f>ROUND((AJ200+AK200)*G200,2)</f>
        <v/>
      </c>
      <c r="AN200">
        <f>AJ200+AK200+AL200+AM200</f>
        <v/>
      </c>
      <c r="AO200">
        <f>IF(OR(Policies!G200&gt;1000000,C200&gt;20,Policies!L200&gt;=3),"REFER","OK")</f>
        <v/>
      </c>
      <c r="AP200">
        <f>ROUND(AH200/D200,3)</f>
        <v/>
      </c>
      <c r="AQ200">
        <f>Policies!B200&amp;"-"&amp;LEFT(Policies!C200,1)&amp;TEXT(Policies!D200,"00")</f>
        <v/>
      </c>
    </row>
    <row r="201">
      <c r="A201">
        <f>Policies!A201</f>
        <v/>
      </c>
      <c r="B201">
        <f>IFERROR(DATEDIF(DATE(Policies!E201,1,1),Policies!M201,"y"),0)</f>
        <v/>
      </c>
      <c r="C201">
        <f>Policies!F201*1</f>
        <v/>
      </c>
      <c r="D201">
        <f>Policies!G201/1000</f>
        <v/>
      </c>
      <c r="E201">
        <f>VLOOKUP(Policies!B201,BaseRates,2,FALSE)</f>
        <v/>
      </c>
      <c r="F201">
        <f>VLOOKUP(Policies!B201,BaseRates,3,FALSE)</f>
        <v/>
      </c>
      <c r="G201">
        <f>VLOOKUP(Policies!B201,BaseRates,4,FALSE)</f>
        <v/>
      </c>
      <c r="H201">
        <f>ROUND(E201*D201,2)</f>
        <v/>
      </c>
      <c r="I201">
        <f>INDEX(RateTables!$B$13:$B$16,MATCH(Policies!C201,RateTables!$A$13:$A$16,0))</f>
        <v/>
      </c>
      <c r="J201">
        <f>INDEX(RateTables!$C$13:$C$16,MATCH(Policies!C201,RateTables!$A$13:$A$16,0))</f>
        <v/>
      </c>
      <c r="K201">
        <f>INDEX(RateTables!$B$19:$C$28,MATCH(Policies!D201,RateTables!$A$19:$A$28,0),IF(Policies!C201="Frame",1,2))</f>
        <v/>
      </c>
      <c r="L201">
        <f>VLOOKUP(B201,AgeBands,2,TRUE)</f>
        <v/>
      </c>
      <c r="M201">
        <f>VLOOKUP(C201,RoofBands,2,TRUE)</f>
        <v/>
      </c>
      <c r="N201">
        <f>VLOOKUP(Policies!G201,AOIBands,2,TRUE)</f>
        <v/>
      </c>
      <c r="O201">
        <f>VLOOKUP(Policies!H201,RateTables!$A$31:$B$35,2,TRUE)</f>
        <v/>
      </c>
      <c r="P201">
        <f>VLOOKUP(MIN(Policies!L201,3),ClaimsTable,2,FALSE)</f>
        <v/>
      </c>
      <c r="Q201">
        <f>ROUND(H201*I201*K201*L201*M201*N201*O201*P201,2)</f>
        <v/>
      </c>
      <c r="R201">
        <f>IF(Policies!J201="Y",1,0)</f>
        <v/>
      </c>
      <c r="S201">
        <f>IF(AND(Policies!L201=0,B201&gt;=3),1,0)</f>
        <v/>
      </c>
      <c r="T201">
        <f>IF(B201&lt;=5,1,0)</f>
        <v/>
      </c>
      <c r="U201">
        <f>IF(Policies!K201="Basic",1,0)</f>
        <v/>
      </c>
      <c r="V201">
        <f>IF(Policies!K201="Fortified",1,0)</f>
        <v/>
      </c>
      <c r="W201">
        <f>SUMPRODUCT(R201:V201,CreditPcts)</f>
        <v/>
      </c>
      <c r="X201">
        <f>MIN(W201,CreditCap)</f>
        <v/>
      </c>
      <c r="Y201">
        <f>ROUND(Q201*(1-X201),2)</f>
        <v/>
      </c>
      <c r="Z201">
        <f>IF(Policies!I201="",0.02,Policies!I201)</f>
        <v/>
      </c>
      <c r="AA201">
        <f>IFERROR(VLOOKUP(Z201,HurrDedTable,2,FALSE),1)</f>
        <v/>
      </c>
      <c r="AB201">
        <f>IFERROR(INDEX(RateTables!$L$31:$L$33,MATCH(Policies!K201,RateTables!$K$31:$K$33,0)),1)</f>
        <v/>
      </c>
      <c r="AC201">
        <f>ROUND(F201*D201*J201*AA201*AB201,2)</f>
        <v/>
      </c>
      <c r="AD201">
        <f>MIN(AC201,Policies!G201*HurrCapPct)</f>
        <v/>
      </c>
      <c r="AE201">
        <f>Y201+AD201</f>
        <v/>
      </c>
      <c r="AF201" s="1">
        <f>EDATE(Policies!M201,Policies!N201)</f>
        <v/>
      </c>
      <c r="AG201">
        <f>ROUND(YEARFRAC(Policies!M201,AF201,3),4)</f>
        <v/>
      </c>
      <c r="AH201">
        <f>ROUND(AE201*AG201,2)</f>
        <v/>
      </c>
      <c r="AI201">
        <f>MAX(AH201,MinPremium)</f>
        <v/>
      </c>
      <c r="AJ201">
        <f>ROUNDUP(AI201,0)</f>
        <v/>
      </c>
      <c r="AK201">
        <f>VLOOKUP(Policies!N201,FeeTable,2,FALSE)</f>
        <v/>
      </c>
      <c r="AL201">
        <f>ROUND(AJ201*AssessRate,2)</f>
        <v/>
      </c>
      <c r="AM201">
        <f>ROUND((AJ201+AK201)*G201,2)</f>
        <v/>
      </c>
      <c r="AN201">
        <f>AJ201+AK201+AL201+AM201</f>
        <v/>
      </c>
      <c r="AO201">
        <f>IF(OR(Policies!G201&gt;1000000,C201&gt;20,Policies!L201&gt;=3),"REFER","OK")</f>
        <v/>
      </c>
      <c r="AP201">
        <f>ROUND(AH201/D201,3)</f>
        <v/>
      </c>
      <c r="AQ201">
        <f>Policies!B201&amp;"-"&amp;LEFT(Policies!C201,1)&amp;TEXT(Policies!D201,"00")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</t>
        </is>
      </c>
    </row>
    <row r="2">
      <c r="A2" t="inlineStr">
        <is>
          <t>Policies</t>
        </is>
      </c>
      <c r="B2">
        <f>COUNTA(Calc!A2:A41)</f>
        <v/>
      </c>
    </row>
    <row r="3">
      <c r="A3" t="inlineStr">
        <is>
          <t>Written premium</t>
        </is>
      </c>
      <c r="B3">
        <f>SUM(Calc!AJ2:AJ41)</f>
        <v/>
      </c>
    </row>
    <row r="4">
      <c r="A4" t="inlineStr">
        <is>
          <t>Total due</t>
        </is>
      </c>
      <c r="B4">
        <f>SUM(Calc!AN2:AN41)</f>
        <v/>
      </c>
    </row>
    <row r="5">
      <c r="A5" t="inlineStr">
        <is>
          <t>Avg rate/1000</t>
        </is>
      </c>
      <c r="B5">
        <f>AVERAGE(Calc!AP2:AP41)</f>
        <v/>
      </c>
    </row>
    <row r="6">
      <c r="A6" t="inlineStr">
        <is>
          <t>Hurricane share</t>
        </is>
      </c>
      <c r="B6">
        <f>SUMPRODUCT(Calc!AD2:AD41)/SUM(Calc!AE2:AE41)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</t>
        </is>
      </c>
    </row>
    <row r="3">
      <c r="A3" t="inlineStr">
        <is>
          <t>Carrier</t>
        </is>
      </c>
      <c r="B3" t="inlineStr">
        <is>
          <t>Example Mutual Insurance Co. (FICTIONAL)</t>
        </is>
      </c>
    </row>
    <row r="4">
      <c r="A4" t="inlineStr">
        <is>
          <t>Product</t>
        </is>
      </c>
      <c r="B4" t="inlineStr">
        <is>
          <t>Homeowners HO-3 rating workbook (synthetic demonstration)</t>
        </is>
      </c>
    </row>
    <row r="5">
      <c r="A5" t="inlineStr">
        <is>
          <t>Generated by</t>
        </is>
      </c>
      <c r="B5" t="inlineStr">
        <is>
          <t>tools/gen_workbook.py --n 40 --seed 2026</t>
        </is>
      </c>
    </row>
    <row r="6">
      <c r="A6" t="inlineStr">
        <is>
          <t>Layout</t>
        </is>
      </c>
      <c r="B6" t="inlineStr">
        <is>
          <t>Policies rows 2-41; Calc formula columns A:AQ rows 2-41; Summary B2:B6</t>
        </is>
      </c>
    </row>
    <row r="7">
      <c r="A7" t="inlineStr">
        <is>
          <t>Disclosure</t>
        </is>
      </c>
      <c r="B7" t="inlineStr">
        <is>
          <t>Contains deliberately seeded spreadsheet anomalies for the demonstration (see docs/CONTRACT.md).</t>
        </is>
      </c>
    </row>
    <row r="8">
      <c r="A8" t="inlineStr">
        <is>
          <t>Personal data</t>
        </is>
      </c>
      <c r="B8" t="inlineStr">
        <is>
          <t>None. Policy IDs are synthetic; there are no names, addresses or contacts.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SheetShift tools/gen_workbook.py</dc:creator>
  <dc:title>Example Mutual Insurance Co. (FICTIONAL) HO-3 rater (synthetic)</dc:title>
  <dcterms:created xsi:type="dcterms:W3CDTF">2026-01-01T00:00:00Z</dcterms:created>
  <dcterms:modified xsi:type="dcterms:W3CDTF">2026-01-01T00:00:00Z</dcterms:modified>
</cp:coreProperties>
</file>